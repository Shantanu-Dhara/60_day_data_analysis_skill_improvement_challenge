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D:\60_Day_Data_Analysis_Skill_Improvement_Challenge\day_29\excel\"/>
    </mc:Choice>
  </mc:AlternateContent>
  <xr:revisionPtr revIDLastSave="0" documentId="13_ncr:1_{702BD002-3F4E-4FC4-9F18-ED40F57D0BC3}" xr6:coauthVersionLast="47" xr6:coauthVersionMax="47" xr10:uidLastSave="{00000000-0000-0000-0000-000000000000}"/>
  <bookViews>
    <workbookView xWindow="-120" yWindow="-120" windowWidth="20730" windowHeight="11040" xr2:uid="{E7B7B39A-D9E4-4B1B-895F-71D0E14AC069}"/>
  </bookViews>
  <sheets>
    <sheet name="practice_01" sheetId="1" r:id="rId1"/>
    <sheet name="practice_02" sheetId="2" r:id="rId2"/>
    <sheet name="practice_03" sheetId="4" r:id="rId3"/>
  </sheets>
  <definedNames>
    <definedName name="Slicer_Region">#N/A</definedName>
  </definedNames>
  <calcPr calcId="181029"/>
  <pivotCaches>
    <pivotCache cacheId="0" r:id="rId4"/>
    <pivotCache cacheId="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2" i="1"/>
  <c r="I14" i="1"/>
  <c r="H14" i="1"/>
  <c r="I3" i="1"/>
  <c r="I4" i="1"/>
  <c r="I5" i="1"/>
  <c r="I6" i="1"/>
  <c r="I7" i="1"/>
  <c r="I8" i="1"/>
  <c r="I9" i="1"/>
  <c r="I10" i="1"/>
  <c r="I11" i="1"/>
  <c r="I2" i="1"/>
  <c r="G14" i="1"/>
  <c r="F14" i="1"/>
  <c r="E14" i="1"/>
  <c r="D14" i="1"/>
  <c r="C14" i="1"/>
  <c r="B14" i="1"/>
  <c r="A14" i="1"/>
  <c r="L3" i="1"/>
  <c r="L4" i="1"/>
  <c r="L5" i="1"/>
  <c r="L6" i="1"/>
  <c r="L7" i="1"/>
  <c r="L8" i="1"/>
  <c r="L9" i="1"/>
  <c r="L10" i="1"/>
  <c r="L11" i="1"/>
  <c r="L2" i="1"/>
</calcChain>
</file>

<file path=xl/sharedStrings.xml><?xml version="1.0" encoding="utf-8"?>
<sst xmlns="http://schemas.openxmlformats.org/spreadsheetml/2006/main" count="83" uniqueCount="50">
  <si>
    <t>Order ID</t>
  </si>
  <si>
    <t>Date</t>
  </si>
  <si>
    <t>Product</t>
  </si>
  <si>
    <t>Category</t>
  </si>
  <si>
    <t>Region</t>
  </si>
  <si>
    <t>Qty</t>
  </si>
  <si>
    <t>Price</t>
  </si>
  <si>
    <t>Discount</t>
  </si>
  <si>
    <t>Sales</t>
  </si>
  <si>
    <t>Profit</t>
  </si>
  <si>
    <t>Laptop</t>
  </si>
  <si>
    <t>Tech</t>
  </si>
  <si>
    <t>East</t>
  </si>
  <si>
    <t>Mouse</t>
  </si>
  <si>
    <t>West</t>
  </si>
  <si>
    <t>Coffee</t>
  </si>
  <si>
    <t>Grocery</t>
  </si>
  <si>
    <t>South</t>
  </si>
  <si>
    <t>Notebook</t>
  </si>
  <si>
    <t>North</t>
  </si>
  <si>
    <t>Bag</t>
  </si>
  <si>
    <t>Fashion</t>
  </si>
  <si>
    <t>Keyboard</t>
  </si>
  <si>
    <t>Tea</t>
  </si>
  <si>
    <t>Shoes</t>
  </si>
  <si>
    <t>Pen</t>
  </si>
  <si>
    <t>Headphones</t>
  </si>
  <si>
    <t>Stationery.</t>
  </si>
  <si>
    <t>Profit %</t>
  </si>
  <si>
    <t>Total Revenue</t>
  </si>
  <si>
    <t>Total Profit</t>
  </si>
  <si>
    <t>Average Discount</t>
  </si>
  <si>
    <t>Highest Sales</t>
  </si>
  <si>
    <t>Lowest Sales</t>
  </si>
  <si>
    <t>Count Tech Product</t>
  </si>
  <si>
    <t>Sales &gt; 5000 Count</t>
  </si>
  <si>
    <t>Discounted Or Not</t>
  </si>
  <si>
    <t>Profit of Order ID 105</t>
  </si>
  <si>
    <t>Random Number</t>
  </si>
  <si>
    <t>Row Labels</t>
  </si>
  <si>
    <t>Grand Total</t>
  </si>
  <si>
    <t>Sum of Sales</t>
  </si>
  <si>
    <t>Sum of Profit</t>
  </si>
  <si>
    <t>Average of Discount</t>
  </si>
  <si>
    <t>Average of Profit %</t>
  </si>
  <si>
    <t>Sum of Qty</t>
  </si>
  <si>
    <t>Average of Profit</t>
  </si>
  <si>
    <t>Average of Sales</t>
  </si>
  <si>
    <t>Average of Qty</t>
  </si>
  <si>
    <t>Discount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</si>
</sst>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2" fontId="0" fillId="0" borderId="0" xfId="0" applyNumberFormat="1"/>
    <xf numFmtId="0" fontId="1" fillId="0" borderId="0" xfId="0" applyFont="1" applyAlignment="1">
      <alignment vertical="center"/>
    </xf>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1" fillId="2" borderId="1" xfId="0" applyFont="1" applyFill="1" applyBorder="1" applyAlignment="1">
      <alignment vertical="center"/>
    </xf>
    <xf numFmtId="0" fontId="0" fillId="0" borderId="1" xfId="0" applyBorder="1"/>
    <xf numFmtId="10" fontId="0" fillId="0" borderId="1" xfId="0" applyNumberFormat="1" applyBorder="1"/>
    <xf numFmtId="0" fontId="1" fillId="0" borderId="1" xfId="0" applyFont="1" applyBorder="1" applyAlignment="1">
      <alignment horizontal="center" vertical="center" wrapText="1"/>
    </xf>
    <xf numFmtId="0" fontId="0" fillId="0" borderId="1" xfId="0" applyBorder="1" applyAlignment="1">
      <alignment vertical="center" wrapText="1"/>
    </xf>
    <xf numFmtId="14" fontId="0" fillId="0" borderId="1" xfId="0" applyNumberFormat="1" applyBorder="1" applyAlignment="1">
      <alignment vertical="center" wrapText="1"/>
    </xf>
    <xf numFmtId="0" fontId="0" fillId="2" borderId="1" xfId="0" applyFill="1" applyBorder="1" applyAlignment="1">
      <alignment vertical="center" wrapText="1"/>
    </xf>
    <xf numFmtId="10" fontId="0" fillId="0" borderId="1" xfId="0" applyNumberFormat="1" applyBorder="1" applyAlignment="1">
      <alignment vertical="center" wrapText="1"/>
    </xf>
    <xf numFmtId="0" fontId="0" fillId="0" borderId="0" xfId="0" pivotButton="1"/>
    <xf numFmtId="0" fontId="0" fillId="0" borderId="0" xfId="0" applyAlignment="1">
      <alignment horizontal="left"/>
    </xf>
    <xf numFmtId="14" fontId="0" fillId="0" borderId="0" xfId="0" applyNumberFormat="1" applyAlignment="1">
      <alignment horizontal="left"/>
    </xf>
    <xf numFmtId="164"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2.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[practice.xlsx]practice_02!PivotTable5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practice_02!$L$2</c:f>
              <c:strCache>
                <c:ptCount val="1"/>
                <c:pt idx="0">
                  <c:v>Sum of Sales</c:v>
                </c:pt>
              </c:strCache>
            </c:strRef>
          </c:tx>
          <c:spPr>
            <a:solidFill>
              <a:schemeClr val="accent1"/>
            </a:solidFill>
            <a:ln>
              <a:noFill/>
            </a:ln>
            <a:effectLst/>
          </c:spPr>
          <c:invertIfNegative val="0"/>
          <c:cat>
            <c:strRef>
              <c:f>practice_02!$K$3:$K$6</c:f>
              <c:strCache>
                <c:ptCount val="3"/>
                <c:pt idx="0">
                  <c:v>06-01-2024</c:v>
                </c:pt>
                <c:pt idx="1">
                  <c:v>14-01-2024</c:v>
                </c:pt>
                <c:pt idx="2">
                  <c:v>17-01-2024</c:v>
                </c:pt>
              </c:strCache>
            </c:strRef>
          </c:cat>
          <c:val>
            <c:numRef>
              <c:f>practice_02!$L$3:$L$6</c:f>
              <c:numCache>
                <c:formatCode>General</c:formatCode>
                <c:ptCount val="3"/>
                <c:pt idx="0">
                  <c:v>2850</c:v>
                </c:pt>
                <c:pt idx="1">
                  <c:v>2000</c:v>
                </c:pt>
                <c:pt idx="2">
                  <c:v>2400</c:v>
                </c:pt>
              </c:numCache>
            </c:numRef>
          </c:val>
          <c:extLst>
            <c:ext xmlns:c16="http://schemas.microsoft.com/office/drawing/2014/chart" uri="{C3380CC4-5D6E-409C-BE32-E72D297353CC}">
              <c16:uniqueId val="{00000000-FB9B-4A31-BE89-4D0CEADA3038}"/>
            </c:ext>
          </c:extLst>
        </c:ser>
        <c:dLbls>
          <c:showLegendKey val="0"/>
          <c:showVal val="0"/>
          <c:showCatName val="0"/>
          <c:showSerName val="0"/>
          <c:showPercent val="0"/>
          <c:showBubbleSize val="0"/>
        </c:dLbls>
        <c:gapWidth val="219"/>
        <c:overlap val="-27"/>
        <c:axId val="1119090000"/>
        <c:axId val="1119089584"/>
      </c:barChart>
      <c:lineChart>
        <c:grouping val="stacked"/>
        <c:varyColors val="0"/>
        <c:ser>
          <c:idx val="1"/>
          <c:order val="1"/>
          <c:tx>
            <c:strRef>
              <c:f>practice_02!$M$2</c:f>
              <c:strCache>
                <c:ptCount val="1"/>
                <c:pt idx="0">
                  <c:v>Sum of Qty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practice_02!$K$3:$K$6</c:f>
              <c:strCache>
                <c:ptCount val="3"/>
                <c:pt idx="0">
                  <c:v>06-01-2024</c:v>
                </c:pt>
                <c:pt idx="1">
                  <c:v>14-01-2024</c:v>
                </c:pt>
                <c:pt idx="2">
                  <c:v>17-01-2024</c:v>
                </c:pt>
              </c:strCache>
            </c:strRef>
          </c:cat>
          <c:val>
            <c:numRef>
              <c:f>practice_02!$M$3:$M$6</c:f>
              <c:numCache>
                <c:formatCode>General</c:formatCode>
                <c:ptCount val="3"/>
                <c:pt idx="0">
                  <c:v>20</c:v>
                </c:pt>
                <c:pt idx="1">
                  <c:v>10</c:v>
                </c:pt>
                <c:pt idx="2">
                  <c:v>1</c:v>
                </c:pt>
              </c:numCache>
            </c:numRef>
          </c:val>
          <c:smooth val="0"/>
          <c:extLst>
            <c:ext xmlns:c16="http://schemas.microsoft.com/office/drawing/2014/chart" uri="{C3380CC4-5D6E-409C-BE32-E72D297353CC}">
              <c16:uniqueId val="{00000001-FB9B-4A31-BE89-4D0CEADA3038}"/>
            </c:ext>
          </c:extLst>
        </c:ser>
        <c:dLbls>
          <c:showLegendKey val="0"/>
          <c:showVal val="0"/>
          <c:showCatName val="0"/>
          <c:showSerName val="0"/>
          <c:showPercent val="0"/>
          <c:showBubbleSize val="0"/>
        </c:dLbls>
        <c:marker val="1"/>
        <c:smooth val="0"/>
        <c:axId val="1119104976"/>
        <c:axId val="1119102064"/>
      </c:lineChart>
      <c:catAx>
        <c:axId val="111910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102064"/>
        <c:crosses val="autoZero"/>
        <c:auto val="1"/>
        <c:lblAlgn val="ctr"/>
        <c:lblOffset val="100"/>
        <c:noMultiLvlLbl val="0"/>
      </c:catAx>
      <c:valAx>
        <c:axId val="111910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104976"/>
        <c:crosses val="autoZero"/>
        <c:crossBetween val="between"/>
      </c:valAx>
      <c:valAx>
        <c:axId val="111908958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090000"/>
        <c:crosses val="max"/>
        <c:crossBetween val="between"/>
      </c:valAx>
      <c:catAx>
        <c:axId val="1119090000"/>
        <c:scaling>
          <c:orientation val="minMax"/>
        </c:scaling>
        <c:delete val="1"/>
        <c:axPos val="b"/>
        <c:numFmt formatCode="General" sourceLinked="1"/>
        <c:majorTickMark val="out"/>
        <c:minorTickMark val="none"/>
        <c:tickLblPos val="nextTo"/>
        <c:crossAx val="111908958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161925</xdr:colOff>
      <xdr:row>0</xdr:row>
      <xdr:rowOff>161925</xdr:rowOff>
    </xdr:from>
    <xdr:to>
      <xdr:col>7</xdr:col>
      <xdr:colOff>466725</xdr:colOff>
      <xdr:row>15</xdr:row>
      <xdr:rowOff>47625</xdr:rowOff>
    </xdr:to>
    <xdr:graphicFrame macro="">
      <xdr:nvGraphicFramePr>
        <xdr:cNvPr id="2" name="Chart 1">
          <a:extLst>
            <a:ext uri="{FF2B5EF4-FFF2-40B4-BE49-F238E27FC236}">
              <a16:creationId xmlns:a16="http://schemas.microsoft.com/office/drawing/2014/main" id="{7365CE0F-7237-4589-BB25-1BA37CD35B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590550</xdr:colOff>
      <xdr:row>1</xdr:row>
      <xdr:rowOff>123825</xdr:rowOff>
    </xdr:from>
    <xdr:to>
      <xdr:col>10</xdr:col>
      <xdr:colOff>590550</xdr:colOff>
      <xdr:row>14</xdr:row>
      <xdr:rowOff>171450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63BA5C83-27D5-9587-EC90-9C3E5E09293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857750" y="3143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983.311225694444" createdVersion="8" refreshedVersion="8" minRefreshableVersion="3" recordCount="10" xr:uid="{B021DB38-64AE-4480-BDC7-92419C2D4BCC}">
  <cacheSource type="worksheet">
    <worksheetSource ref="A1:L11" sheet="practice_01"/>
  </cacheSource>
  <cacheFields count="12">
    <cacheField name="Order ID" numFmtId="0">
      <sharedItems containsSemiMixedTypes="0" containsString="0" containsNumber="1" containsInteger="1" minValue="101" maxValue="110"/>
    </cacheField>
    <cacheField name="Date" numFmtId="14">
      <sharedItems containsSemiMixedTypes="0" containsNonDate="0" containsDate="1" containsString="0" minDate="2024-01-03T00:00:00" maxDate="2024-01-18T00:00:00" count="10">
        <d v="2024-01-03T00:00:00"/>
        <d v="2024-01-05T00:00:00"/>
        <d v="2024-01-06T00:00:00"/>
        <d v="2024-01-10T00:00:00"/>
        <d v="2024-01-12T00:00:00"/>
        <d v="2024-01-13T00:00:00"/>
        <d v="2024-01-14T00:00:00"/>
        <d v="2024-01-15T00:00:00"/>
        <d v="2024-01-16T00:00:00"/>
        <d v="2024-01-17T00:00:00"/>
      </sharedItems>
    </cacheField>
    <cacheField name="Product" numFmtId="0">
      <sharedItems/>
    </cacheField>
    <cacheField name="Category" numFmtId="0">
      <sharedItems count="4">
        <s v="Tech"/>
        <s v="Grocery"/>
        <s v="Stationery."/>
        <s v="Fashion"/>
      </sharedItems>
    </cacheField>
    <cacheField name="Region" numFmtId="0">
      <sharedItems count="4">
        <s v="East"/>
        <s v="West"/>
        <s v="South"/>
        <s v="North"/>
      </sharedItems>
    </cacheField>
    <cacheField name="Qty" numFmtId="0">
      <sharedItems containsSemiMixedTypes="0" containsString="0" containsNumber="1" containsInteger="1" minValue="1" maxValue="30"/>
    </cacheField>
    <cacheField name="Price" numFmtId="0">
      <sharedItems containsSemiMixedTypes="0" containsString="0" containsNumber="1" containsInteger="1" minValue="10" maxValue="45000"/>
    </cacheField>
    <cacheField name="Discount" numFmtId="10">
      <sharedItems containsSemiMixedTypes="0" containsString="0" containsNumber="1" minValue="0" maxValue="0.2"/>
    </cacheField>
    <cacheField name="Discounted Or Not" numFmtId="10">
      <sharedItems/>
    </cacheField>
    <cacheField name="Sales" numFmtId="0">
      <sharedItems containsSemiMixedTypes="0" containsString="0" containsNumber="1" containsInteger="1" minValue="300" maxValue="90000"/>
    </cacheField>
    <cacheField name="Profit" numFmtId="0">
      <sharedItems containsSemiMixedTypes="0" containsString="0" containsNumber="1" containsInteger="1" minValue="60" maxValue="12000"/>
    </cacheField>
    <cacheField name="Profit %" numFmtId="10">
      <sharedItems containsSemiMixedTypes="0" containsString="0" containsNumber="1" minValue="0.10802469135802469" maxValue="0.36"/>
    </cacheField>
  </cacheFields>
  <extLst>
    <ext xmlns:x14="http://schemas.microsoft.com/office/spreadsheetml/2009/9/main" uri="{725AE2AE-9491-48be-B2B4-4EB974FC3084}">
      <x14:pivotCacheDefinition pivotCacheId="208302865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983.330325694442" createdVersion="8" refreshedVersion="8" minRefreshableVersion="3" recordCount="10" xr:uid="{BBE8325B-E2E0-4EB0-8D76-99AA5A155087}">
  <cacheSource type="worksheet">
    <worksheetSource ref="A1:M11" sheet="practice_01"/>
  </cacheSource>
  <cacheFields count="13">
    <cacheField name="Order ID" numFmtId="0">
      <sharedItems containsSemiMixedTypes="0" containsString="0" containsNumber="1" containsInteger="1" minValue="101" maxValue="110"/>
    </cacheField>
    <cacheField name="Date" numFmtId="14">
      <sharedItems containsSemiMixedTypes="0" containsNonDate="0" containsDate="1" containsString="0" minDate="2024-01-03T00:00:00" maxDate="2024-01-18T00:00:00"/>
    </cacheField>
    <cacheField name="Product" numFmtId="0">
      <sharedItems/>
    </cacheField>
    <cacheField name="Category" numFmtId="0">
      <sharedItems count="4">
        <s v="Tech"/>
        <s v="Grocery"/>
        <s v="Stationery."/>
        <s v="Fashion"/>
      </sharedItems>
    </cacheField>
    <cacheField name="Region" numFmtId="0">
      <sharedItems/>
    </cacheField>
    <cacheField name="Qty" numFmtId="0">
      <sharedItems containsSemiMixedTypes="0" containsString="0" containsNumber="1" containsInteger="1" minValue="1" maxValue="30"/>
    </cacheField>
    <cacheField name="Price" numFmtId="0">
      <sharedItems containsSemiMixedTypes="0" containsString="0" containsNumber="1" containsInteger="1" minValue="10" maxValue="45000"/>
    </cacheField>
    <cacheField name="Discount" numFmtId="0">
      <sharedItems containsSemiMixedTypes="0" containsString="0" containsNumber="1" minValue="0" maxValue="0.2"/>
    </cacheField>
    <cacheField name="Discounted Or Not" numFmtId="10">
      <sharedItems/>
    </cacheField>
    <cacheField name="Sales" numFmtId="0">
      <sharedItems containsSemiMixedTypes="0" containsString="0" containsNumber="1" containsInteger="1" minValue="300" maxValue="90000"/>
    </cacheField>
    <cacheField name="Profit" numFmtId="0">
      <sharedItems containsSemiMixedTypes="0" containsString="0" containsNumber="1" containsInteger="1" minValue="60" maxValue="12000"/>
    </cacheField>
    <cacheField name="Profit %" numFmtId="10">
      <sharedItems containsSemiMixedTypes="0" containsString="0" containsNumber="1" minValue="0.10802469135802469" maxValue="0.36"/>
    </cacheField>
    <cacheField name="Discount %" numFmtId="164">
      <sharedItems containsSemiMixedTypes="0" containsString="0" containsNumber="1" minValue="0" maxValue="8.3333333333333344E-5" count="7">
        <n v="1.1111111111111112E-6"/>
        <n v="0"/>
        <n v="1.7543859649122809E-5"/>
        <n v="3.0864197530864198E-5"/>
        <n v="1.3157894736842106E-5"/>
        <n v="3.529411764705882E-5"/>
        <n v="8.3333333333333344E-5"/>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1"/>
    <x v="0"/>
    <s v="Laptop"/>
    <x v="0"/>
    <x v="0"/>
    <n v="2"/>
    <n v="45000"/>
    <n v="0.1"/>
    <s v="Yes"/>
    <n v="90000"/>
    <n v="12000"/>
    <n v="0.13333333333333333"/>
  </r>
  <r>
    <n v="102"/>
    <x v="1"/>
    <s v="Mouse"/>
    <x v="0"/>
    <x v="1"/>
    <n v="5"/>
    <n v="500"/>
    <n v="0"/>
    <s v="No"/>
    <n v="2500"/>
    <n v="900"/>
    <n v="0.36"/>
  </r>
  <r>
    <n v="103"/>
    <x v="2"/>
    <s v="Coffee"/>
    <x v="1"/>
    <x v="2"/>
    <n v="20"/>
    <n v="150"/>
    <n v="0.05"/>
    <s v="Yes"/>
    <n v="2850"/>
    <n v="650"/>
    <n v="0.22807017543859648"/>
  </r>
  <r>
    <n v="104"/>
    <x v="3"/>
    <s v="Notebook"/>
    <x v="2"/>
    <x v="3"/>
    <n v="15"/>
    <n v="40"/>
    <n v="0"/>
    <s v="No"/>
    <n v="600"/>
    <n v="150"/>
    <n v="0.25"/>
  </r>
  <r>
    <n v="105"/>
    <x v="4"/>
    <s v="Bag"/>
    <x v="3"/>
    <x v="0"/>
    <n v="3"/>
    <n v="1200"/>
    <n v="0.1"/>
    <s v="Yes"/>
    <n v="3240"/>
    <n v="350"/>
    <n v="0.10802469135802469"/>
  </r>
  <r>
    <n v="106"/>
    <x v="5"/>
    <s v="Keyboard"/>
    <x v="0"/>
    <x v="1"/>
    <n v="4"/>
    <n v="1000"/>
    <n v="0.05"/>
    <s v="Yes"/>
    <n v="3800"/>
    <n v="500"/>
    <n v="0.13157894736842105"/>
  </r>
  <r>
    <n v="107"/>
    <x v="6"/>
    <s v="Tea"/>
    <x v="1"/>
    <x v="2"/>
    <n v="10"/>
    <n v="200"/>
    <n v="0"/>
    <s v="No"/>
    <n v="2000"/>
    <n v="450"/>
    <n v="0.22500000000000001"/>
  </r>
  <r>
    <n v="108"/>
    <x v="7"/>
    <s v="Shoes"/>
    <x v="3"/>
    <x v="3"/>
    <n v="2"/>
    <n v="2500"/>
    <n v="0.15"/>
    <s v="Yes"/>
    <n v="4250"/>
    <n v="700"/>
    <n v="0.16470588235294117"/>
  </r>
  <r>
    <n v="109"/>
    <x v="8"/>
    <s v="Pen"/>
    <x v="2"/>
    <x v="0"/>
    <n v="30"/>
    <n v="10"/>
    <n v="0"/>
    <s v="No"/>
    <n v="300"/>
    <n v="60"/>
    <n v="0.2"/>
  </r>
  <r>
    <n v="110"/>
    <x v="9"/>
    <s v="Headphones"/>
    <x v="0"/>
    <x v="2"/>
    <n v="1"/>
    <n v="3000"/>
    <n v="0.2"/>
    <s v="Yes"/>
    <n v="2400"/>
    <n v="300"/>
    <n v="0.1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1"/>
    <d v="2024-01-03T00:00:00"/>
    <s v="Laptop"/>
    <x v="0"/>
    <s v="East"/>
    <n v="2"/>
    <n v="45000"/>
    <n v="0.1"/>
    <s v="Yes"/>
    <n v="90000"/>
    <n v="12000"/>
    <n v="0.13333333333333333"/>
    <x v="0"/>
  </r>
  <r>
    <n v="102"/>
    <d v="2024-01-05T00:00:00"/>
    <s v="Mouse"/>
    <x v="0"/>
    <s v="West"/>
    <n v="5"/>
    <n v="500"/>
    <n v="0"/>
    <s v="No"/>
    <n v="2500"/>
    <n v="900"/>
    <n v="0.36"/>
    <x v="1"/>
  </r>
  <r>
    <n v="103"/>
    <d v="2024-01-06T00:00:00"/>
    <s v="Coffee"/>
    <x v="1"/>
    <s v="South"/>
    <n v="20"/>
    <n v="150"/>
    <n v="0.05"/>
    <s v="Yes"/>
    <n v="2850"/>
    <n v="650"/>
    <n v="0.22807017543859648"/>
    <x v="2"/>
  </r>
  <r>
    <n v="104"/>
    <d v="2024-01-10T00:00:00"/>
    <s v="Notebook"/>
    <x v="2"/>
    <s v="North"/>
    <n v="15"/>
    <n v="40"/>
    <n v="0"/>
    <s v="No"/>
    <n v="600"/>
    <n v="150"/>
    <n v="0.25"/>
    <x v="1"/>
  </r>
  <r>
    <n v="105"/>
    <d v="2024-01-12T00:00:00"/>
    <s v="Bag"/>
    <x v="3"/>
    <s v="East"/>
    <n v="3"/>
    <n v="1200"/>
    <n v="0.1"/>
    <s v="Yes"/>
    <n v="3240"/>
    <n v="350"/>
    <n v="0.10802469135802469"/>
    <x v="3"/>
  </r>
  <r>
    <n v="106"/>
    <d v="2024-01-13T00:00:00"/>
    <s v="Keyboard"/>
    <x v="0"/>
    <s v="West"/>
    <n v="4"/>
    <n v="1000"/>
    <n v="0.05"/>
    <s v="Yes"/>
    <n v="3800"/>
    <n v="500"/>
    <n v="0.13157894736842105"/>
    <x v="4"/>
  </r>
  <r>
    <n v="107"/>
    <d v="2024-01-14T00:00:00"/>
    <s v="Tea"/>
    <x v="1"/>
    <s v="South"/>
    <n v="10"/>
    <n v="200"/>
    <n v="0"/>
    <s v="No"/>
    <n v="2000"/>
    <n v="450"/>
    <n v="0.22500000000000001"/>
    <x v="1"/>
  </r>
  <r>
    <n v="108"/>
    <d v="2024-01-15T00:00:00"/>
    <s v="Shoes"/>
    <x v="3"/>
    <s v="North"/>
    <n v="2"/>
    <n v="2500"/>
    <n v="0.15"/>
    <s v="Yes"/>
    <n v="4250"/>
    <n v="700"/>
    <n v="0.16470588235294117"/>
    <x v="5"/>
  </r>
  <r>
    <n v="109"/>
    <d v="2024-01-16T00:00:00"/>
    <s v="Pen"/>
    <x v="2"/>
    <s v="East"/>
    <n v="30"/>
    <n v="10"/>
    <n v="0"/>
    <s v="No"/>
    <n v="300"/>
    <n v="60"/>
    <n v="0.2"/>
    <x v="1"/>
  </r>
  <r>
    <n v="110"/>
    <d v="2024-01-17T00:00:00"/>
    <s v="Headphones"/>
    <x v="0"/>
    <s v="South"/>
    <n v="1"/>
    <n v="3000"/>
    <n v="0.2"/>
    <s v="Yes"/>
    <n v="2400"/>
    <n v="300"/>
    <n v="0.12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433377-E9ED-46CF-AC1E-67BF9AC5644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D7" firstHeaderRow="0" firstDataRow="1" firstDataCol="1"/>
  <pivotFields count="12">
    <pivotField showAll="0"/>
    <pivotField numFmtId="14" showAll="0"/>
    <pivotField showAll="0"/>
    <pivotField showAll="0"/>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pivotField showAll="0"/>
    <pivotField numFmtId="10" showAll="0"/>
    <pivotField showAll="0"/>
    <pivotField dataField="1" showAll="0"/>
    <pivotField dataField="1" showAll="0"/>
    <pivotField numFmtId="10" showAll="0"/>
  </pivotFields>
  <rowFields count="1">
    <field x="4"/>
  </rowFields>
  <rowItems count="5">
    <i>
      <x/>
    </i>
    <i>
      <x v="2"/>
    </i>
    <i>
      <x v="3"/>
    </i>
    <i>
      <x v="1"/>
    </i>
    <i t="grand">
      <x/>
    </i>
  </rowItems>
  <colFields count="1">
    <field x="-2"/>
  </colFields>
  <colItems count="2">
    <i>
      <x/>
    </i>
    <i i="1">
      <x v="1"/>
    </i>
  </colItems>
  <dataFields count="2">
    <dataField name="Sum of Sales" fld="9" baseField="0" baseItem="0"/>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4EFFBA-6353-461E-989C-D040CB4214A8}"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S7" firstHeaderRow="0" firstDataRow="1" firstDataCol="1"/>
  <pivotFields count="13">
    <pivotField showAll="0"/>
    <pivotField numFmtId="14" showAll="0"/>
    <pivotField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dataField="1" showAll="0"/>
    <pivotField dataField="1" showAll="0"/>
    <pivotField dataField="1" numFmtId="10" showAll="0"/>
    <pivotField numFmtId="164" showAll="0"/>
  </pivotFields>
  <rowFields count="1">
    <field x="3"/>
  </rowFields>
  <rowItems count="5">
    <i>
      <x v="1"/>
    </i>
    <i>
      <x v="2"/>
    </i>
    <i>
      <x v="3"/>
    </i>
    <i>
      <x/>
    </i>
    <i t="grand">
      <x/>
    </i>
  </rowItems>
  <colFields count="1">
    <field x="-2"/>
  </colFields>
  <colItems count="4">
    <i>
      <x/>
    </i>
    <i i="1">
      <x v="1"/>
    </i>
    <i i="2">
      <x v="2"/>
    </i>
    <i i="3">
      <x v="3"/>
    </i>
  </colItems>
  <dataFields count="4">
    <dataField name="Average of Profit %" fld="11" subtotal="average" baseField="3" baseItem="0"/>
    <dataField name="Average of Discount" fld="7" subtotal="average" baseField="3" baseItem="0"/>
    <dataField name="Sum of Sales" fld="9" baseField="0" baseItem="0"/>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B3CBD8-8814-48F2-B93D-98682ED48E1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2:M6" firstHeaderRow="0" firstDataRow="1" firstDataCol="1"/>
  <pivotFields count="12">
    <pivotField showAll="0"/>
    <pivotField axis="axisRow" numFmtId="14" showAll="0">
      <items count="11">
        <item x="0"/>
        <item x="1"/>
        <item x="2"/>
        <item x="3"/>
        <item x="4"/>
        <item x="5"/>
        <item x="6"/>
        <item x="7"/>
        <item x="8"/>
        <item x="9"/>
        <item t="default"/>
      </items>
    </pivotField>
    <pivotField showAll="0"/>
    <pivotField showAll="0"/>
    <pivotField showAll="0">
      <items count="5">
        <item h="1" x="0"/>
        <item h="1" x="3"/>
        <item x="2"/>
        <item h="1" x="1"/>
        <item t="default"/>
      </items>
    </pivotField>
    <pivotField dataField="1" showAll="0"/>
    <pivotField showAll="0"/>
    <pivotField numFmtId="10" showAll="0"/>
    <pivotField showAll="0"/>
    <pivotField dataField="1" showAll="0"/>
    <pivotField showAll="0"/>
    <pivotField numFmtId="10" showAll="0"/>
  </pivotFields>
  <rowFields count="1">
    <field x="1"/>
  </rowFields>
  <rowItems count="4">
    <i>
      <x v="2"/>
    </i>
    <i>
      <x v="6"/>
    </i>
    <i>
      <x v="9"/>
    </i>
    <i t="grand">
      <x/>
    </i>
  </rowItems>
  <colFields count="1">
    <field x="-2"/>
  </colFields>
  <colItems count="2">
    <i>
      <x/>
    </i>
    <i i="1">
      <x v="1"/>
    </i>
  </colItems>
  <dataFields count="2">
    <dataField name="Sum of Sales" fld="9" baseField="0" baseItem="0"/>
    <dataField name="Sum of Qty" fld="5" baseField="1" baseItem="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6E54A3-B7D0-4DF9-A6EF-FF8B3886483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I7" firstHeaderRow="0" firstDataRow="1" firstDataCol="1"/>
  <pivotFields count="12">
    <pivotField showAll="0"/>
    <pivotField numFmtId="14" showAll="0"/>
    <pivotField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numFmtId="10" showAll="0"/>
    <pivotField showAll="0"/>
    <pivotField dataField="1" showAll="0"/>
    <pivotField dataField="1" showAll="0"/>
    <pivotField numFmtId="10" showAll="0"/>
  </pivotFields>
  <rowFields count="1">
    <field x="3"/>
  </rowFields>
  <rowItems count="5">
    <i>
      <x v="3"/>
    </i>
    <i>
      <x/>
    </i>
    <i>
      <x v="1"/>
    </i>
    <i>
      <x v="2"/>
    </i>
    <i t="grand">
      <x/>
    </i>
  </rowItems>
  <colFields count="1">
    <field x="-2"/>
  </colFields>
  <colItems count="3">
    <i>
      <x/>
    </i>
    <i i="1">
      <x v="1"/>
    </i>
    <i i="2">
      <x v="2"/>
    </i>
  </colItems>
  <dataFields count="3">
    <dataField name="Average of Sales" fld="9" subtotal="average" baseField="3" baseItem="0"/>
    <dataField name="Average of Profit" fld="10" subtotal="average" baseField="3" baseItem="0"/>
    <dataField name="Average of Qty" fld="5"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EF26E65-CC22-41F1-9BC4-64958B8D2654}" sourceName="Region">
  <pivotTables>
    <pivotTable tabId="2" name="PivotTable5"/>
  </pivotTables>
  <data>
    <tabular pivotCacheId="2083028656">
      <items count="4">
        <i x="0"/>
        <i x="3"/>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DCAF276-4A28-45F6-BEE6-5C6D223CE821}"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1A7E4-397C-4CAE-918A-00E77C795DBA}">
  <dimension ref="A1:O14"/>
  <sheetViews>
    <sheetView tabSelected="1" workbookViewId="0">
      <selection activeCell="O20" sqref="O20"/>
    </sheetView>
  </sheetViews>
  <sheetFormatPr defaultColWidth="13.28515625" defaultRowHeight="15" x14ac:dyDescent="0.25"/>
  <cols>
    <col min="1" max="1" width="8.85546875" bestFit="1" customWidth="1"/>
    <col min="2" max="2" width="10.85546875" bestFit="1" customWidth="1"/>
    <col min="3" max="3" width="12.140625" bestFit="1" customWidth="1"/>
    <col min="4" max="4" width="12.7109375" bestFit="1" customWidth="1"/>
    <col min="5" max="5" width="12.28515625" bestFit="1" customWidth="1"/>
    <col min="6" max="6" width="18.42578125" bestFit="1" customWidth="1"/>
    <col min="7" max="7" width="17.42578125" bestFit="1" customWidth="1"/>
    <col min="8" max="8" width="19.85546875" bestFit="1" customWidth="1"/>
    <col min="9" max="9" width="17.5703125" customWidth="1"/>
    <col min="10" max="11" width="6" bestFit="1" customWidth="1"/>
    <col min="12" max="12" width="8" bestFit="1" customWidth="1"/>
  </cols>
  <sheetData>
    <row r="1" spans="1:15" x14ac:dyDescent="0.25">
      <c r="A1" s="8" t="s">
        <v>0</v>
      </c>
      <c r="B1" s="3" t="s">
        <v>1</v>
      </c>
      <c r="C1" s="8" t="s">
        <v>2</v>
      </c>
      <c r="D1" s="8" t="s">
        <v>3</v>
      </c>
      <c r="E1" s="8" t="s">
        <v>4</v>
      </c>
      <c r="F1" s="8" t="s">
        <v>5</v>
      </c>
      <c r="G1" s="8" t="s">
        <v>6</v>
      </c>
      <c r="H1" s="3" t="s">
        <v>7</v>
      </c>
      <c r="I1" s="3" t="s">
        <v>36</v>
      </c>
      <c r="J1" s="8" t="s">
        <v>8</v>
      </c>
      <c r="K1" s="8" t="s">
        <v>9</v>
      </c>
      <c r="L1" s="3" t="s">
        <v>28</v>
      </c>
      <c r="M1" s="3" t="s">
        <v>49</v>
      </c>
    </row>
    <row r="2" spans="1:15" x14ac:dyDescent="0.25">
      <c r="A2" s="9">
        <v>101</v>
      </c>
      <c r="B2" s="10">
        <v>45294</v>
      </c>
      <c r="C2" s="9" t="s">
        <v>10</v>
      </c>
      <c r="D2" s="11" t="s">
        <v>11</v>
      </c>
      <c r="E2" s="9" t="s">
        <v>12</v>
      </c>
      <c r="F2" s="9">
        <v>2</v>
      </c>
      <c r="G2" s="9">
        <v>45000</v>
      </c>
      <c r="H2" s="9">
        <v>0.1</v>
      </c>
      <c r="I2" s="12" t="str">
        <f>IF(H2 &gt; 0, "Yes","No")</f>
        <v>Yes</v>
      </c>
      <c r="J2" s="9">
        <v>90000</v>
      </c>
      <c r="K2" s="9">
        <v>12000</v>
      </c>
      <c r="L2" s="7">
        <f>K2/J2</f>
        <v>0.13333333333333333</v>
      </c>
      <c r="M2" s="16">
        <f>H2/J2</f>
        <v>1.1111111111111112E-6</v>
      </c>
    </row>
    <row r="3" spans="1:15" x14ac:dyDescent="0.25">
      <c r="A3" s="9">
        <v>102</v>
      </c>
      <c r="B3" s="10">
        <v>45296</v>
      </c>
      <c r="C3" s="9" t="s">
        <v>13</v>
      </c>
      <c r="D3" s="11" t="s">
        <v>11</v>
      </c>
      <c r="E3" s="9" t="s">
        <v>14</v>
      </c>
      <c r="F3" s="9">
        <v>5</v>
      </c>
      <c r="G3" s="9">
        <v>500</v>
      </c>
      <c r="H3" s="9">
        <v>0</v>
      </c>
      <c r="I3" s="12" t="str">
        <f t="shared" ref="I3:I11" si="0">IF(H3 &gt; 0, "Yes","No")</f>
        <v>No</v>
      </c>
      <c r="J3" s="9">
        <v>2500</v>
      </c>
      <c r="K3" s="9">
        <v>900</v>
      </c>
      <c r="L3" s="7">
        <f t="shared" ref="L3:L11" si="1">K3/J3</f>
        <v>0.36</v>
      </c>
      <c r="M3" s="16">
        <f t="shared" ref="M3:M11" si="2">H3/J3</f>
        <v>0</v>
      </c>
    </row>
    <row r="4" spans="1:15" x14ac:dyDescent="0.25">
      <c r="A4" s="9">
        <v>103</v>
      </c>
      <c r="B4" s="10">
        <v>45297</v>
      </c>
      <c r="C4" s="9" t="s">
        <v>15</v>
      </c>
      <c r="D4" s="9" t="s">
        <v>16</v>
      </c>
      <c r="E4" s="9" t="s">
        <v>17</v>
      </c>
      <c r="F4" s="9">
        <v>20</v>
      </c>
      <c r="G4" s="9">
        <v>150</v>
      </c>
      <c r="H4" s="9">
        <v>0.05</v>
      </c>
      <c r="I4" s="12" t="str">
        <f t="shared" si="0"/>
        <v>Yes</v>
      </c>
      <c r="J4" s="9">
        <v>2850</v>
      </c>
      <c r="K4" s="9">
        <v>650</v>
      </c>
      <c r="L4" s="7">
        <f t="shared" si="1"/>
        <v>0.22807017543859648</v>
      </c>
      <c r="M4" s="16">
        <f t="shared" si="2"/>
        <v>1.7543859649122809E-5</v>
      </c>
    </row>
    <row r="5" spans="1:15" x14ac:dyDescent="0.25">
      <c r="A5" s="9">
        <v>104</v>
      </c>
      <c r="B5" s="10">
        <v>45301</v>
      </c>
      <c r="C5" s="9" t="s">
        <v>18</v>
      </c>
      <c r="D5" s="9" t="s">
        <v>27</v>
      </c>
      <c r="E5" s="9" t="s">
        <v>19</v>
      </c>
      <c r="F5" s="9">
        <v>15</v>
      </c>
      <c r="G5" s="9">
        <v>40</v>
      </c>
      <c r="H5" s="9">
        <v>0</v>
      </c>
      <c r="I5" s="12" t="str">
        <f t="shared" si="0"/>
        <v>No</v>
      </c>
      <c r="J5" s="9">
        <v>600</v>
      </c>
      <c r="K5" s="9">
        <v>150</v>
      </c>
      <c r="L5" s="7">
        <f t="shared" si="1"/>
        <v>0.25</v>
      </c>
      <c r="M5" s="16">
        <f t="shared" si="2"/>
        <v>0</v>
      </c>
    </row>
    <row r="6" spans="1:15" x14ac:dyDescent="0.25">
      <c r="A6" s="9">
        <v>105</v>
      </c>
      <c r="B6" s="10">
        <v>45303</v>
      </c>
      <c r="C6" s="9" t="s">
        <v>20</v>
      </c>
      <c r="D6" s="9" t="s">
        <v>21</v>
      </c>
      <c r="E6" s="9" t="s">
        <v>12</v>
      </c>
      <c r="F6" s="9">
        <v>3</v>
      </c>
      <c r="G6" s="9">
        <v>1200</v>
      </c>
      <c r="H6" s="9">
        <v>0.1</v>
      </c>
      <c r="I6" s="12" t="str">
        <f t="shared" si="0"/>
        <v>Yes</v>
      </c>
      <c r="J6" s="9">
        <v>3240</v>
      </c>
      <c r="K6" s="9">
        <v>350</v>
      </c>
      <c r="L6" s="7">
        <f t="shared" si="1"/>
        <v>0.10802469135802469</v>
      </c>
      <c r="M6" s="16">
        <f t="shared" si="2"/>
        <v>3.0864197530864198E-5</v>
      </c>
    </row>
    <row r="7" spans="1:15" x14ac:dyDescent="0.25">
      <c r="A7" s="9">
        <v>106</v>
      </c>
      <c r="B7" s="10">
        <v>45304</v>
      </c>
      <c r="C7" s="9" t="s">
        <v>22</v>
      </c>
      <c r="D7" s="11" t="s">
        <v>11</v>
      </c>
      <c r="E7" s="9" t="s">
        <v>14</v>
      </c>
      <c r="F7" s="9">
        <v>4</v>
      </c>
      <c r="G7" s="9">
        <v>1000</v>
      </c>
      <c r="H7" s="9">
        <v>0.05</v>
      </c>
      <c r="I7" s="12" t="str">
        <f t="shared" si="0"/>
        <v>Yes</v>
      </c>
      <c r="J7" s="9">
        <v>3800</v>
      </c>
      <c r="K7" s="9">
        <v>500</v>
      </c>
      <c r="L7" s="7">
        <f t="shared" si="1"/>
        <v>0.13157894736842105</v>
      </c>
      <c r="M7" s="16">
        <f t="shared" si="2"/>
        <v>1.3157894736842106E-5</v>
      </c>
    </row>
    <row r="8" spans="1:15" x14ac:dyDescent="0.25">
      <c r="A8" s="9">
        <v>107</v>
      </c>
      <c r="B8" s="10">
        <v>45305</v>
      </c>
      <c r="C8" s="9" t="s">
        <v>23</v>
      </c>
      <c r="D8" s="9" t="s">
        <v>16</v>
      </c>
      <c r="E8" s="9" t="s">
        <v>17</v>
      </c>
      <c r="F8" s="9">
        <v>10</v>
      </c>
      <c r="G8" s="9">
        <v>200</v>
      </c>
      <c r="H8" s="9">
        <v>0</v>
      </c>
      <c r="I8" s="12" t="str">
        <f t="shared" si="0"/>
        <v>No</v>
      </c>
      <c r="J8" s="9">
        <v>2000</v>
      </c>
      <c r="K8" s="9">
        <v>450</v>
      </c>
      <c r="L8" s="7">
        <f t="shared" si="1"/>
        <v>0.22500000000000001</v>
      </c>
      <c r="M8" s="16">
        <f t="shared" si="2"/>
        <v>0</v>
      </c>
    </row>
    <row r="9" spans="1:15" x14ac:dyDescent="0.25">
      <c r="A9" s="9">
        <v>108</v>
      </c>
      <c r="B9" s="10">
        <v>45306</v>
      </c>
      <c r="C9" s="9" t="s">
        <v>24</v>
      </c>
      <c r="D9" s="9" t="s">
        <v>21</v>
      </c>
      <c r="E9" s="9" t="s">
        <v>19</v>
      </c>
      <c r="F9" s="9">
        <v>2</v>
      </c>
      <c r="G9" s="9">
        <v>2500</v>
      </c>
      <c r="H9" s="9">
        <v>0.15</v>
      </c>
      <c r="I9" s="12" t="str">
        <f t="shared" si="0"/>
        <v>Yes</v>
      </c>
      <c r="J9" s="9">
        <v>4250</v>
      </c>
      <c r="K9" s="9">
        <v>700</v>
      </c>
      <c r="L9" s="7">
        <f t="shared" si="1"/>
        <v>0.16470588235294117</v>
      </c>
      <c r="M9" s="16">
        <f t="shared" si="2"/>
        <v>3.529411764705882E-5</v>
      </c>
    </row>
    <row r="10" spans="1:15" x14ac:dyDescent="0.25">
      <c r="A10" s="9">
        <v>109</v>
      </c>
      <c r="B10" s="10">
        <v>45307</v>
      </c>
      <c r="C10" s="9" t="s">
        <v>25</v>
      </c>
      <c r="D10" s="9" t="s">
        <v>27</v>
      </c>
      <c r="E10" s="9" t="s">
        <v>12</v>
      </c>
      <c r="F10" s="9">
        <v>30</v>
      </c>
      <c r="G10" s="9">
        <v>10</v>
      </c>
      <c r="H10" s="9">
        <v>0</v>
      </c>
      <c r="I10" s="12" t="str">
        <f t="shared" si="0"/>
        <v>No</v>
      </c>
      <c r="J10" s="9">
        <v>300</v>
      </c>
      <c r="K10" s="9">
        <v>60</v>
      </c>
      <c r="L10" s="7">
        <f t="shared" si="1"/>
        <v>0.2</v>
      </c>
      <c r="M10" s="16">
        <f t="shared" si="2"/>
        <v>0</v>
      </c>
      <c r="O10" s="1"/>
    </row>
    <row r="11" spans="1:15" x14ac:dyDescent="0.25">
      <c r="A11" s="9">
        <v>110</v>
      </c>
      <c r="B11" s="10">
        <v>45308</v>
      </c>
      <c r="C11" s="9" t="s">
        <v>26</v>
      </c>
      <c r="D11" s="11" t="s">
        <v>11</v>
      </c>
      <c r="E11" s="9" t="s">
        <v>17</v>
      </c>
      <c r="F11" s="9">
        <v>1</v>
      </c>
      <c r="G11" s="9">
        <v>3000</v>
      </c>
      <c r="H11" s="9">
        <v>0.2</v>
      </c>
      <c r="I11" s="12" t="str">
        <f t="shared" si="0"/>
        <v>Yes</v>
      </c>
      <c r="J11" s="9">
        <v>2400</v>
      </c>
      <c r="K11" s="9">
        <v>300</v>
      </c>
      <c r="L11" s="7">
        <f t="shared" si="1"/>
        <v>0.125</v>
      </c>
      <c r="M11" s="16">
        <f t="shared" si="2"/>
        <v>8.3333333333333344E-5</v>
      </c>
    </row>
    <row r="13" spans="1:15" s="2" customFormat="1" ht="30" x14ac:dyDescent="0.25">
      <c r="A13" s="3" t="s">
        <v>29</v>
      </c>
      <c r="B13" s="3" t="s">
        <v>30</v>
      </c>
      <c r="C13" s="3" t="s">
        <v>31</v>
      </c>
      <c r="D13" s="4" t="s">
        <v>32</v>
      </c>
      <c r="E13" s="4" t="s">
        <v>33</v>
      </c>
      <c r="F13" s="5" t="s">
        <v>34</v>
      </c>
      <c r="G13" s="5" t="s">
        <v>35</v>
      </c>
      <c r="H13" s="5" t="s">
        <v>37</v>
      </c>
      <c r="I13" s="5" t="s">
        <v>38</v>
      </c>
    </row>
    <row r="14" spans="1:15" x14ac:dyDescent="0.25">
      <c r="A14" s="6">
        <f>SUM(J2:J11)</f>
        <v>111940</v>
      </c>
      <c r="B14" s="6">
        <f>SUM(K2:K11)</f>
        <v>16060</v>
      </c>
      <c r="C14" s="7">
        <f>AVERAGE(H2:H11)</f>
        <v>6.4999999999999988E-2</v>
      </c>
      <c r="D14" s="6">
        <f>MAX(J2:J11)</f>
        <v>90000</v>
      </c>
      <c r="E14" s="6">
        <f>MIN(J2:J11)</f>
        <v>300</v>
      </c>
      <c r="F14" s="6">
        <f>COUNTIF(D2:D11, "Tech")</f>
        <v>4</v>
      </c>
      <c r="G14" s="6">
        <f>COUNTIF(J2:J11,"&gt;5000")</f>
        <v>1</v>
      </c>
      <c r="H14" s="6">
        <f>INDEX(K2:K11,MATCH(105,A2:A11,0))</f>
        <v>350</v>
      </c>
      <c r="I14" s="6">
        <f ca="1">RANDBETWEEN(30,100)</f>
        <v>39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FE9FF-6457-4E3C-A388-37D5E57348A4}">
  <dimension ref="B2:S7"/>
  <sheetViews>
    <sheetView topLeftCell="J1" workbookViewId="0">
      <selection activeCell="R23" sqref="R23"/>
    </sheetView>
  </sheetViews>
  <sheetFormatPr defaultRowHeight="15" x14ac:dyDescent="0.25"/>
  <cols>
    <col min="2" max="2" width="13.140625" bestFit="1" customWidth="1"/>
    <col min="3" max="3" width="12.140625" bestFit="1" customWidth="1"/>
    <col min="4" max="4" width="12.5703125" bestFit="1" customWidth="1"/>
    <col min="6" max="6" width="13.140625" bestFit="1" customWidth="1"/>
    <col min="7" max="7" width="15.7109375" bestFit="1" customWidth="1"/>
    <col min="8" max="8" width="16.140625" bestFit="1" customWidth="1"/>
    <col min="9" max="9" width="14.28515625" bestFit="1" customWidth="1"/>
    <col min="11" max="11" width="13.140625" bestFit="1" customWidth="1"/>
    <col min="12" max="12" width="12.140625" bestFit="1" customWidth="1"/>
    <col min="13" max="13" width="10.7109375" bestFit="1" customWidth="1"/>
    <col min="15" max="15" width="13.140625" bestFit="1" customWidth="1"/>
    <col min="16" max="16" width="18.28515625" bestFit="1" customWidth="1"/>
    <col min="17" max="17" width="19" bestFit="1" customWidth="1"/>
    <col min="18" max="18" width="12.140625" bestFit="1" customWidth="1"/>
    <col min="19" max="19" width="12.5703125" bestFit="1" customWidth="1"/>
  </cols>
  <sheetData>
    <row r="2" spans="2:19" x14ac:dyDescent="0.25">
      <c r="B2" s="13" t="s">
        <v>39</v>
      </c>
      <c r="C2" t="s">
        <v>41</v>
      </c>
      <c r="D2" t="s">
        <v>42</v>
      </c>
      <c r="F2" s="13" t="s">
        <v>39</v>
      </c>
      <c r="G2" t="s">
        <v>47</v>
      </c>
      <c r="H2" t="s">
        <v>46</v>
      </c>
      <c r="I2" t="s">
        <v>48</v>
      </c>
      <c r="K2" s="13" t="s">
        <v>39</v>
      </c>
      <c r="L2" t="s">
        <v>41</v>
      </c>
      <c r="M2" t="s">
        <v>45</v>
      </c>
      <c r="O2" s="13" t="s">
        <v>39</v>
      </c>
      <c r="P2" t="s">
        <v>44</v>
      </c>
      <c r="Q2" t="s">
        <v>43</v>
      </c>
      <c r="R2" t="s">
        <v>41</v>
      </c>
      <c r="S2" t="s">
        <v>42</v>
      </c>
    </row>
    <row r="3" spans="2:19" x14ac:dyDescent="0.25">
      <c r="B3" s="14" t="s">
        <v>12</v>
      </c>
      <c r="C3">
        <v>93540</v>
      </c>
      <c r="D3">
        <v>12410</v>
      </c>
      <c r="F3" s="14" t="s">
        <v>11</v>
      </c>
      <c r="G3">
        <v>24675</v>
      </c>
      <c r="H3">
        <v>3425</v>
      </c>
      <c r="I3">
        <v>3</v>
      </c>
      <c r="K3" s="15">
        <v>45297</v>
      </c>
      <c r="L3">
        <v>2850</v>
      </c>
      <c r="M3">
        <v>20</v>
      </c>
      <c r="O3" s="14" t="s">
        <v>16</v>
      </c>
      <c r="P3">
        <v>0.22653508771929826</v>
      </c>
      <c r="Q3">
        <v>2.5000000000000001E-2</v>
      </c>
      <c r="R3">
        <v>4850</v>
      </c>
      <c r="S3">
        <v>1100</v>
      </c>
    </row>
    <row r="4" spans="2:19" x14ac:dyDescent="0.25">
      <c r="B4" s="14" t="s">
        <v>17</v>
      </c>
      <c r="C4">
        <v>7250</v>
      </c>
      <c r="D4">
        <v>1400</v>
      </c>
      <c r="F4" s="14" t="s">
        <v>21</v>
      </c>
      <c r="G4">
        <v>3745</v>
      </c>
      <c r="H4">
        <v>525</v>
      </c>
      <c r="I4">
        <v>2.5</v>
      </c>
      <c r="K4" s="15">
        <v>45305</v>
      </c>
      <c r="L4">
        <v>2000</v>
      </c>
      <c r="M4">
        <v>10</v>
      </c>
      <c r="O4" s="14" t="s">
        <v>27</v>
      </c>
      <c r="P4">
        <v>0.22500000000000001</v>
      </c>
      <c r="Q4">
        <v>0</v>
      </c>
      <c r="R4">
        <v>900</v>
      </c>
      <c r="S4">
        <v>210</v>
      </c>
    </row>
    <row r="5" spans="2:19" x14ac:dyDescent="0.25">
      <c r="B5" s="14" t="s">
        <v>14</v>
      </c>
      <c r="C5">
        <v>6300</v>
      </c>
      <c r="D5">
        <v>1400</v>
      </c>
      <c r="F5" s="14" t="s">
        <v>16</v>
      </c>
      <c r="G5">
        <v>2425</v>
      </c>
      <c r="H5">
        <v>550</v>
      </c>
      <c r="I5">
        <v>15</v>
      </c>
      <c r="K5" s="15">
        <v>45308</v>
      </c>
      <c r="L5">
        <v>2400</v>
      </c>
      <c r="M5">
        <v>1</v>
      </c>
      <c r="O5" s="14" t="s">
        <v>11</v>
      </c>
      <c r="P5">
        <v>0.18747807017543858</v>
      </c>
      <c r="Q5">
        <v>8.7500000000000008E-2</v>
      </c>
      <c r="R5">
        <v>98700</v>
      </c>
      <c r="S5">
        <v>13700</v>
      </c>
    </row>
    <row r="6" spans="2:19" x14ac:dyDescent="0.25">
      <c r="B6" s="14" t="s">
        <v>19</v>
      </c>
      <c r="C6">
        <v>4850</v>
      </c>
      <c r="D6">
        <v>850</v>
      </c>
      <c r="F6" s="14" t="s">
        <v>27</v>
      </c>
      <c r="G6">
        <v>450</v>
      </c>
      <c r="H6">
        <v>105</v>
      </c>
      <c r="I6">
        <v>22.5</v>
      </c>
      <c r="K6" s="15" t="s">
        <v>40</v>
      </c>
      <c r="L6">
        <v>7250</v>
      </c>
      <c r="M6">
        <v>31</v>
      </c>
      <c r="O6" s="14" t="s">
        <v>21</v>
      </c>
      <c r="P6">
        <v>0.13636528685548294</v>
      </c>
      <c r="Q6">
        <v>0.125</v>
      </c>
      <c r="R6">
        <v>7490</v>
      </c>
      <c r="S6">
        <v>1050</v>
      </c>
    </row>
    <row r="7" spans="2:19" x14ac:dyDescent="0.25">
      <c r="B7" s="14" t="s">
        <v>40</v>
      </c>
      <c r="C7">
        <v>111940</v>
      </c>
      <c r="D7">
        <v>16060</v>
      </c>
      <c r="F7" s="14" t="s">
        <v>40</v>
      </c>
      <c r="G7">
        <v>11194</v>
      </c>
      <c r="H7">
        <v>1606</v>
      </c>
      <c r="I7">
        <v>9.1999999999999993</v>
      </c>
      <c r="O7" s="14" t="s">
        <v>40</v>
      </c>
      <c r="P7">
        <v>0.19257130298513167</v>
      </c>
      <c r="Q7">
        <v>6.5000000000000002E-2</v>
      </c>
      <c r="R7">
        <v>111940</v>
      </c>
      <c r="S7">
        <v>16060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49ED3-2BFC-4B97-BE6E-17EA0154D3BC}">
  <dimension ref="A1"/>
  <sheetViews>
    <sheetView workbookViewId="0">
      <selection activeCell="B23" sqref="B2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practice_01</vt:lpstr>
      <vt:lpstr>practice_02</vt:lpstr>
      <vt:lpstr>practice_03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2025-11-22T01:22:51Z</dcterms:created>
  <dcterms:modified xsi:type="dcterms:W3CDTF">2025-11-26T13:35:23Z</dcterms:modified>
</cp:coreProperties>
</file>