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deBasics_EXCEL\main_excel_files\"/>
    </mc:Choice>
  </mc:AlternateContent>
  <xr:revisionPtr revIDLastSave="0" documentId="13_ncr:1_{813BD483-F651-46FD-A9BF-6C1F849D80C9}" xr6:coauthVersionLast="47" xr6:coauthVersionMax="47" xr10:uidLastSave="{00000000-0000-0000-0000-000000000000}"/>
  <bookViews>
    <workbookView xWindow="-120" yWindow="-120" windowWidth="20730" windowHeight="11040" xr2:uid="{4AFACC20-D30D-48F4-8C55-06F3401017D2}"/>
  </bookViews>
  <sheets>
    <sheet name="lookups" sheetId="1" r:id="rId1"/>
    <sheet name="fun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2" i="2" l="1"/>
  <c r="Q19" i="2"/>
  <c r="M19" i="2"/>
  <c r="F19" i="2"/>
  <c r="B19" i="2"/>
  <c r="I3" i="2"/>
  <c r="G17" i="1"/>
  <c r="J14" i="1"/>
  <c r="H14" i="1"/>
  <c r="G14" i="1"/>
  <c r="E14" i="1"/>
  <c r="B14" i="1"/>
  <c r="R9" i="1"/>
  <c r="P9" i="1"/>
  <c r="O9" i="1"/>
  <c r="N9" i="1"/>
  <c r="Q9" i="1" s="1"/>
  <c r="R8" i="1"/>
  <c r="P8" i="1"/>
  <c r="O8" i="1"/>
  <c r="N8" i="1"/>
  <c r="Q8" i="1" s="1"/>
  <c r="R7" i="1"/>
  <c r="Q7" i="1"/>
  <c r="P7" i="1"/>
  <c r="O7" i="1"/>
  <c r="N7" i="1"/>
  <c r="R6" i="1"/>
  <c r="P6" i="1"/>
  <c r="O6" i="1"/>
  <c r="N6" i="1"/>
  <c r="Q6" i="1" s="1"/>
  <c r="R5" i="1"/>
  <c r="Q5" i="1"/>
  <c r="P5" i="1"/>
  <c r="O5" i="1"/>
  <c r="N5" i="1"/>
  <c r="R4" i="1"/>
  <c r="P4" i="1"/>
  <c r="O4" i="1"/>
  <c r="N4" i="1"/>
  <c r="Q4" i="1" s="1"/>
  <c r="R3" i="1"/>
  <c r="Q3" i="1"/>
  <c r="P3" i="1"/>
  <c r="O3" i="1"/>
  <c r="N3" i="1"/>
</calcChain>
</file>

<file path=xl/sharedStrings.xml><?xml version="1.0" encoding="utf-8"?>
<sst xmlns="http://schemas.openxmlformats.org/spreadsheetml/2006/main" count="251" uniqueCount="56">
  <si>
    <t>Vlookup Function</t>
  </si>
  <si>
    <t>Xlookup Function</t>
  </si>
  <si>
    <t>Hlookup Function</t>
  </si>
  <si>
    <t>Match</t>
  </si>
  <si>
    <t>If  &amp; If Error &amp; AND &amp; OR &amp; NOT Function</t>
  </si>
  <si>
    <t>Name</t>
  </si>
  <si>
    <t>City</t>
  </si>
  <si>
    <t>Marks</t>
  </si>
  <si>
    <t>Status(IF)</t>
  </si>
  <si>
    <t>Present(IFERROR)</t>
  </si>
  <si>
    <t>Grade(AND)</t>
  </si>
  <si>
    <t>OR</t>
  </si>
  <si>
    <t>NOT</t>
  </si>
  <si>
    <t>Shantanu</t>
  </si>
  <si>
    <t>West Bengal</t>
  </si>
  <si>
    <t>Rumi</t>
  </si>
  <si>
    <t>Kollkaka</t>
  </si>
  <si>
    <t>Puja</t>
  </si>
  <si>
    <t>Noida</t>
  </si>
  <si>
    <t>Suvo</t>
  </si>
  <si>
    <t>Pune</t>
  </si>
  <si>
    <t>Rakesh</t>
  </si>
  <si>
    <t>Darjiling</t>
  </si>
  <si>
    <t>Rudra</t>
  </si>
  <si>
    <t>Maharastra</t>
  </si>
  <si>
    <t>Gujrat</t>
  </si>
  <si>
    <t>Bappa</t>
  </si>
  <si>
    <t>Rajasthan</t>
  </si>
  <si>
    <t>Suvojit</t>
  </si>
  <si>
    <t>Himacal Pradesh</t>
  </si>
  <si>
    <t>MATCH</t>
  </si>
  <si>
    <t>INDEX</t>
  </si>
  <si>
    <t>Return Position</t>
  </si>
  <si>
    <t>Sumif Function</t>
  </si>
  <si>
    <t>Sumifs Function</t>
  </si>
  <si>
    <t>Countif Function</t>
  </si>
  <si>
    <t>Counifs Function</t>
  </si>
  <si>
    <t>Averageifs Function</t>
  </si>
  <si>
    <t>Product</t>
  </si>
  <si>
    <t>Quantity</t>
  </si>
  <si>
    <t>Qty</t>
  </si>
  <si>
    <t>State_Project</t>
  </si>
  <si>
    <t>Current_Project</t>
  </si>
  <si>
    <t>Apple</t>
  </si>
  <si>
    <t>Mango</t>
  </si>
  <si>
    <t>Banana</t>
  </si>
  <si>
    <t>Delhi</t>
  </si>
  <si>
    <t>Jackfruit</t>
  </si>
  <si>
    <t>PineApple</t>
  </si>
  <si>
    <t>Pomgranate</t>
  </si>
  <si>
    <t>kashmir</t>
  </si>
  <si>
    <t>Tamil Nadu</t>
  </si>
  <si>
    <t>Total Qty</t>
  </si>
  <si>
    <t>Total Project</t>
  </si>
  <si>
    <t>Average</t>
  </si>
  <si>
    <t>Single Condition 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</si>
</sst>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E59E-7519-44C0-90AE-6FB9A99642A5}">
  <dimension ref="A1:R17"/>
  <sheetViews>
    <sheetView tabSelected="1" workbookViewId="0">
      <selection activeCell="H21" sqref="H21"/>
    </sheetView>
  </sheetViews>
  <sheetFormatPr defaultRowHeight="15" x14ac:dyDescent="0.25"/>
  <cols>
    <col min="1" max="1" width="9.28515625" bestFit="1" customWidth="1"/>
    <col min="2" max="2" width="15.7109375" bestFit="1" customWidth="1"/>
    <col min="3" max="3" width="4.5703125" customWidth="1"/>
    <col min="4" max="4" width="9.28515625" bestFit="1" customWidth="1"/>
    <col min="5" max="5" width="15.7109375" bestFit="1" customWidth="1"/>
    <col min="6" max="6" width="4.42578125" customWidth="1"/>
    <col min="7" max="7" width="9.28515625" bestFit="1" customWidth="1"/>
    <col min="8" max="8" width="15.7109375" bestFit="1" customWidth="1"/>
    <col min="9" max="9" width="5.85546875" customWidth="1"/>
    <col min="10" max="11" width="9.28515625" bestFit="1" customWidth="1"/>
    <col min="12" max="12" width="3.42578125" customWidth="1"/>
    <col min="13" max="13" width="6.28515625" bestFit="1" customWidth="1"/>
    <col min="14" max="14" width="9.42578125" bestFit="1" customWidth="1"/>
    <col min="15" max="15" width="16.85546875" bestFit="1" customWidth="1"/>
    <col min="16" max="16" width="11.7109375" bestFit="1" customWidth="1"/>
    <col min="17" max="17" width="3.5703125" bestFit="1" customWidth="1"/>
    <col min="18" max="18" width="4.85546875" bestFit="1" customWidth="1"/>
  </cols>
  <sheetData>
    <row r="1" spans="1:18" x14ac:dyDescent="0.25">
      <c r="A1" s="1" t="s">
        <v>0</v>
      </c>
      <c r="B1" s="1"/>
      <c r="D1" s="1" t="s">
        <v>1</v>
      </c>
      <c r="E1" s="1"/>
      <c r="G1" s="1" t="s">
        <v>2</v>
      </c>
      <c r="H1" s="1"/>
      <c r="J1" s="2" t="s">
        <v>3</v>
      </c>
      <c r="K1" s="2"/>
      <c r="M1" s="3" t="s">
        <v>4</v>
      </c>
      <c r="N1" s="1"/>
      <c r="O1" s="1"/>
      <c r="P1" s="1"/>
      <c r="Q1" s="1"/>
      <c r="R1" s="1"/>
    </row>
    <row r="2" spans="1:18" x14ac:dyDescent="0.25">
      <c r="A2" s="4" t="s">
        <v>5</v>
      </c>
      <c r="B2" s="4" t="s">
        <v>6</v>
      </c>
      <c r="D2" s="4" t="s">
        <v>5</v>
      </c>
      <c r="E2" s="4" t="s">
        <v>6</v>
      </c>
      <c r="G2" s="4" t="s">
        <v>5</v>
      </c>
      <c r="H2" s="4" t="s">
        <v>6</v>
      </c>
      <c r="J2" s="4" t="s">
        <v>5</v>
      </c>
      <c r="K2" s="4" t="s">
        <v>5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4" t="s">
        <v>12</v>
      </c>
    </row>
    <row r="3" spans="1:18" x14ac:dyDescent="0.25">
      <c r="A3" s="5" t="s">
        <v>13</v>
      </c>
      <c r="B3" s="5" t="s">
        <v>14</v>
      </c>
      <c r="D3" s="5" t="s">
        <v>13</v>
      </c>
      <c r="E3" s="5" t="s">
        <v>14</v>
      </c>
      <c r="G3" s="5" t="s">
        <v>13</v>
      </c>
      <c r="H3" s="5" t="s">
        <v>14</v>
      </c>
      <c r="J3" s="5" t="s">
        <v>13</v>
      </c>
      <c r="K3" s="5" t="s">
        <v>13</v>
      </c>
      <c r="M3" s="5">
        <v>85</v>
      </c>
      <c r="N3" s="5" t="str">
        <f>IF(M3&gt;50,"Pass","Fail")</f>
        <v>Pass</v>
      </c>
      <c r="O3" s="5">
        <f>IFERROR(M3, )</f>
        <v>85</v>
      </c>
      <c r="P3" s="6" t="str">
        <f>IF(AND(M3&gt;=60, M3&lt;=100),"A","B")</f>
        <v>A</v>
      </c>
      <c r="Q3" s="6" t="str">
        <f>IF(OR(N3&gt;=60, N3&lt;=100),"A","B")</f>
        <v>A</v>
      </c>
      <c r="R3" s="6" t="str">
        <f>IF(NOT(M3 &lt; 60),"A","B")</f>
        <v>A</v>
      </c>
    </row>
    <row r="4" spans="1:18" x14ac:dyDescent="0.25">
      <c r="A4" s="5" t="s">
        <v>15</v>
      </c>
      <c r="B4" s="5" t="s">
        <v>16</v>
      </c>
      <c r="D4" s="5" t="s">
        <v>15</v>
      </c>
      <c r="E4" s="5" t="s">
        <v>16</v>
      </c>
      <c r="G4" s="5" t="s">
        <v>15</v>
      </c>
      <c r="H4" s="5" t="s">
        <v>16</v>
      </c>
      <c r="J4" s="5" t="s">
        <v>15</v>
      </c>
      <c r="K4" s="5" t="s">
        <v>15</v>
      </c>
      <c r="M4" s="5"/>
      <c r="N4" s="5" t="str">
        <f t="shared" ref="N4:N9" si="0">IF(M4&gt;50,"Pass","Fail")</f>
        <v>Fail</v>
      </c>
      <c r="O4" s="5">
        <f t="shared" ref="O4:O9" si="1">IFERROR(M4, )</f>
        <v>0</v>
      </c>
      <c r="P4" s="6" t="str">
        <f t="shared" ref="P4:P9" si="2">IF(AND(M4&gt;=60, M4&lt;=100),"A","B")</f>
        <v>B</v>
      </c>
      <c r="Q4" s="6" t="str">
        <f>IF(OR(N4&gt;=60, N4&lt;=100),"A","B")</f>
        <v>A</v>
      </c>
      <c r="R4" s="6" t="str">
        <f>IF(NOT(M4 &lt; 60),"A","B")</f>
        <v>B</v>
      </c>
    </row>
    <row r="5" spans="1:18" x14ac:dyDescent="0.25">
      <c r="A5" s="5" t="s">
        <v>17</v>
      </c>
      <c r="B5" s="5" t="s">
        <v>18</v>
      </c>
      <c r="D5" s="5" t="s">
        <v>17</v>
      </c>
      <c r="E5" s="5" t="s">
        <v>18</v>
      </c>
      <c r="G5" s="5" t="s">
        <v>17</v>
      </c>
      <c r="H5" s="5" t="s">
        <v>18</v>
      </c>
      <c r="J5" s="5" t="s">
        <v>17</v>
      </c>
      <c r="K5" s="5" t="s">
        <v>17</v>
      </c>
      <c r="M5" s="5">
        <v>86</v>
      </c>
      <c r="N5" s="5" t="str">
        <f t="shared" si="0"/>
        <v>Pass</v>
      </c>
      <c r="O5" s="5">
        <f t="shared" si="1"/>
        <v>86</v>
      </c>
      <c r="P5" s="6" t="str">
        <f t="shared" si="2"/>
        <v>A</v>
      </c>
      <c r="Q5" s="6" t="str">
        <f t="shared" ref="Q5:Q9" si="3">IF(OR(N5&gt;=60, N5&lt;=100),"A","B")</f>
        <v>A</v>
      </c>
      <c r="R5" s="6" t="str">
        <f t="shared" ref="R5:R9" si="4">IF(NOT(M5 &lt; 60),"A","B")</f>
        <v>A</v>
      </c>
    </row>
    <row r="6" spans="1:18" x14ac:dyDescent="0.25">
      <c r="A6" s="5" t="s">
        <v>19</v>
      </c>
      <c r="B6" s="5" t="s">
        <v>20</v>
      </c>
      <c r="D6" s="5" t="s">
        <v>19</v>
      </c>
      <c r="E6" s="5" t="s">
        <v>20</v>
      </c>
      <c r="G6" s="5" t="s">
        <v>19</v>
      </c>
      <c r="H6" s="5" t="s">
        <v>20</v>
      </c>
      <c r="J6" s="5" t="s">
        <v>19</v>
      </c>
      <c r="K6" s="5" t="s">
        <v>19</v>
      </c>
      <c r="M6" s="5">
        <v>45</v>
      </c>
      <c r="N6" s="5" t="str">
        <f t="shared" si="0"/>
        <v>Fail</v>
      </c>
      <c r="O6" s="5">
        <f t="shared" si="1"/>
        <v>45</v>
      </c>
      <c r="P6" s="6" t="str">
        <f t="shared" si="2"/>
        <v>B</v>
      </c>
      <c r="Q6" s="6" t="str">
        <f t="shared" si="3"/>
        <v>A</v>
      </c>
      <c r="R6" s="6" t="str">
        <f t="shared" si="4"/>
        <v>B</v>
      </c>
    </row>
    <row r="7" spans="1:18" x14ac:dyDescent="0.25">
      <c r="A7" s="5" t="s">
        <v>21</v>
      </c>
      <c r="B7" s="5" t="s">
        <v>22</v>
      </c>
      <c r="D7" s="5" t="s">
        <v>21</v>
      </c>
      <c r="E7" s="5" t="s">
        <v>22</v>
      </c>
      <c r="G7" s="5" t="s">
        <v>21</v>
      </c>
      <c r="H7" s="5" t="s">
        <v>22</v>
      </c>
      <c r="J7" s="5" t="s">
        <v>21</v>
      </c>
      <c r="K7" s="5" t="s">
        <v>21</v>
      </c>
      <c r="M7" s="5">
        <v>69</v>
      </c>
      <c r="N7" s="5" t="str">
        <f t="shared" si="0"/>
        <v>Pass</v>
      </c>
      <c r="O7" s="5">
        <f t="shared" si="1"/>
        <v>69</v>
      </c>
      <c r="P7" s="6" t="str">
        <f t="shared" si="2"/>
        <v>A</v>
      </c>
      <c r="Q7" s="6" t="str">
        <f t="shared" si="3"/>
        <v>A</v>
      </c>
      <c r="R7" s="6" t="str">
        <f t="shared" si="4"/>
        <v>A</v>
      </c>
    </row>
    <row r="8" spans="1:18" x14ac:dyDescent="0.25">
      <c r="A8" s="5" t="s">
        <v>23</v>
      </c>
      <c r="B8" s="5" t="s">
        <v>24</v>
      </c>
      <c r="D8" s="5" t="s">
        <v>23</v>
      </c>
      <c r="E8" s="5" t="s">
        <v>24</v>
      </c>
      <c r="G8" s="5" t="s">
        <v>23</v>
      </c>
      <c r="H8" s="5" t="s">
        <v>24</v>
      </c>
      <c r="J8" s="5" t="s">
        <v>23</v>
      </c>
      <c r="K8" s="5" t="s">
        <v>23</v>
      </c>
      <c r="M8" s="5">
        <v>15</v>
      </c>
      <c r="N8" s="5" t="str">
        <f t="shared" si="0"/>
        <v>Fail</v>
      </c>
      <c r="O8" s="5">
        <f t="shared" si="1"/>
        <v>15</v>
      </c>
      <c r="P8" s="6" t="str">
        <f t="shared" si="2"/>
        <v>B</v>
      </c>
      <c r="Q8" s="6" t="str">
        <f t="shared" si="3"/>
        <v>A</v>
      </c>
      <c r="R8" s="6" t="str">
        <f t="shared" si="4"/>
        <v>B</v>
      </c>
    </row>
    <row r="9" spans="1:18" x14ac:dyDescent="0.25">
      <c r="A9" s="5" t="s">
        <v>15</v>
      </c>
      <c r="B9" s="5" t="s">
        <v>25</v>
      </c>
      <c r="D9" s="5" t="s">
        <v>15</v>
      </c>
      <c r="E9" s="5" t="s">
        <v>25</v>
      </c>
      <c r="G9" s="5" t="s">
        <v>15</v>
      </c>
      <c r="H9" s="5" t="s">
        <v>25</v>
      </c>
      <c r="J9" s="5" t="s">
        <v>15</v>
      </c>
      <c r="K9" s="5" t="s">
        <v>15</v>
      </c>
      <c r="M9" s="5">
        <v>68</v>
      </c>
      <c r="N9" s="5" t="str">
        <f t="shared" si="0"/>
        <v>Pass</v>
      </c>
      <c r="O9" s="5">
        <f t="shared" si="1"/>
        <v>68</v>
      </c>
      <c r="P9" s="6" t="str">
        <f t="shared" si="2"/>
        <v>A</v>
      </c>
      <c r="Q9" s="6" t="str">
        <f t="shared" si="3"/>
        <v>A</v>
      </c>
      <c r="R9" s="6" t="str">
        <f t="shared" si="4"/>
        <v>A</v>
      </c>
    </row>
    <row r="10" spans="1:18" x14ac:dyDescent="0.25">
      <c r="A10" s="5" t="s">
        <v>26</v>
      </c>
      <c r="B10" s="5" t="s">
        <v>27</v>
      </c>
      <c r="D10" s="5" t="s">
        <v>26</v>
      </c>
      <c r="E10" s="5" t="s">
        <v>27</v>
      </c>
      <c r="G10" s="5" t="s">
        <v>26</v>
      </c>
      <c r="H10" s="5" t="s">
        <v>27</v>
      </c>
      <c r="J10" s="5" t="s">
        <v>26</v>
      </c>
      <c r="K10" s="5" t="s">
        <v>26</v>
      </c>
      <c r="M10" s="7"/>
    </row>
    <row r="11" spans="1:18" x14ac:dyDescent="0.25">
      <c r="A11" s="5" t="s">
        <v>28</v>
      </c>
      <c r="B11" s="5" t="s">
        <v>29</v>
      </c>
      <c r="D11" s="5" t="s">
        <v>28</v>
      </c>
      <c r="E11" s="5" t="s">
        <v>29</v>
      </c>
      <c r="G11" s="5" t="s">
        <v>28</v>
      </c>
      <c r="H11" s="5" t="s">
        <v>29</v>
      </c>
      <c r="J11" s="5" t="s">
        <v>28</v>
      </c>
      <c r="K11" s="5" t="s">
        <v>28</v>
      </c>
      <c r="M11" s="8"/>
      <c r="N11" s="8"/>
      <c r="O11" s="8"/>
    </row>
    <row r="12" spans="1:18" x14ac:dyDescent="0.25">
      <c r="A12" s="7"/>
      <c r="B12" s="7"/>
      <c r="D12" s="7"/>
      <c r="E12" s="7"/>
      <c r="G12" s="7"/>
      <c r="H12" s="7"/>
      <c r="M12" s="7"/>
    </row>
    <row r="13" spans="1:18" x14ac:dyDescent="0.25">
      <c r="A13" s="9" t="s">
        <v>5</v>
      </c>
      <c r="B13" s="9" t="s">
        <v>6</v>
      </c>
      <c r="D13" s="9" t="s">
        <v>5</v>
      </c>
      <c r="E13" s="9" t="s">
        <v>6</v>
      </c>
      <c r="G13" s="9" t="s">
        <v>5</v>
      </c>
      <c r="H13" s="9" t="s">
        <v>6</v>
      </c>
      <c r="J13" s="2" t="s">
        <v>30</v>
      </c>
      <c r="K13" s="2"/>
      <c r="M13" s="10"/>
    </row>
    <row r="14" spans="1:18" x14ac:dyDescent="0.25">
      <c r="A14" s="4" t="s">
        <v>23</v>
      </c>
      <c r="B14" s="5" t="str">
        <f>VLOOKUP(A14,A3:B11,2,0)</f>
        <v>Maharastra</v>
      </c>
      <c r="D14" s="4" t="s">
        <v>23</v>
      </c>
      <c r="E14" s="5" t="e">
        <f ca="1">XLOOKUP(D14,D3:D11,E3:E11)</f>
        <v>#NAME?</v>
      </c>
      <c r="G14" s="4" t="str">
        <f>HLOOKUP(G3,G3:H11,1,0)</f>
        <v>Shantanu</v>
      </c>
      <c r="H14" s="4" t="str">
        <f>HLOOKUP(H3,H3:I11,1,0)</f>
        <v>West Bengal</v>
      </c>
      <c r="J14" s="11">
        <f>MATCH(J3,J3:J11,0)</f>
        <v>1</v>
      </c>
      <c r="K14" s="12"/>
    </row>
    <row r="15" spans="1:18" x14ac:dyDescent="0.25">
      <c r="M15" s="7"/>
    </row>
    <row r="16" spans="1:18" x14ac:dyDescent="0.25">
      <c r="G16" s="2" t="s">
        <v>31</v>
      </c>
      <c r="H16" s="2"/>
      <c r="J16" s="13" t="s">
        <v>32</v>
      </c>
      <c r="K16" s="13"/>
      <c r="M16" s="7"/>
    </row>
    <row r="17" spans="4:13" x14ac:dyDescent="0.25">
      <c r="D17" s="14"/>
      <c r="E17" s="14"/>
      <c r="G17" s="13" t="str">
        <f>INDEX(G3:H11,2,2)</f>
        <v>Kollkaka</v>
      </c>
      <c r="H17" s="13"/>
      <c r="M17" s="7"/>
    </row>
  </sheetData>
  <mergeCells count="11">
    <mergeCell ref="J14:K14"/>
    <mergeCell ref="G16:H16"/>
    <mergeCell ref="J16:K16"/>
    <mergeCell ref="D17:E17"/>
    <mergeCell ref="G17:H17"/>
    <mergeCell ref="A1:B1"/>
    <mergeCell ref="D1:E1"/>
    <mergeCell ref="G1:H1"/>
    <mergeCell ref="J1:K1"/>
    <mergeCell ref="M1:R1"/>
    <mergeCell ref="J13:K13"/>
  </mergeCells>
  <dataValidations count="1">
    <dataValidation type="list" allowBlank="1" showInputMessage="1" showErrorMessage="1" sqref="A14 D14" xr:uid="{C24EC5BD-37BD-46F2-9663-8A1E6B132396}">
      <formula1>$A$3:$A$11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CD3D-AF9D-4540-99CE-3F26089CB201}">
  <dimension ref="A1:Q22"/>
  <sheetViews>
    <sheetView workbookViewId="0">
      <selection activeCell="L22" sqref="L22"/>
    </sheetView>
  </sheetViews>
  <sheetFormatPr defaultRowHeight="15" x14ac:dyDescent="0.25"/>
  <cols>
    <col min="1" max="1" width="11.7109375" bestFit="1" customWidth="1"/>
    <col min="2" max="2" width="8.7109375" bestFit="1" customWidth="1"/>
    <col min="4" max="4" width="9.28515625" bestFit="1" customWidth="1"/>
    <col min="5" max="5" width="20.42578125" customWidth="1"/>
    <col min="6" max="6" width="9" bestFit="1" customWidth="1"/>
    <col min="8" max="8" width="9.28515625" bestFit="1" customWidth="1"/>
    <col min="9" max="9" width="11.5703125" bestFit="1" customWidth="1"/>
    <col min="10" max="10" width="3.85546875" customWidth="1"/>
    <col min="11" max="11" width="9.28515625" bestFit="1" customWidth="1"/>
    <col min="12" max="12" width="15.7109375" bestFit="1" customWidth="1"/>
    <col min="13" max="13" width="15.140625" bestFit="1" customWidth="1"/>
    <col min="14" max="14" width="5.7109375" customWidth="1"/>
    <col min="16" max="16" width="15.7109375" bestFit="1" customWidth="1"/>
  </cols>
  <sheetData>
    <row r="1" spans="1:17" x14ac:dyDescent="0.25">
      <c r="A1" s="1" t="s">
        <v>33</v>
      </c>
      <c r="B1" s="1"/>
      <c r="D1" s="2" t="s">
        <v>34</v>
      </c>
      <c r="E1" s="2"/>
      <c r="F1" s="2"/>
      <c r="H1" s="2" t="s">
        <v>35</v>
      </c>
      <c r="I1" s="2"/>
      <c r="K1" s="15" t="s">
        <v>36</v>
      </c>
      <c r="L1" s="16"/>
      <c r="M1" s="16"/>
      <c r="O1" s="2" t="s">
        <v>37</v>
      </c>
      <c r="P1" s="2"/>
      <c r="Q1" s="2"/>
    </row>
    <row r="2" spans="1:17" x14ac:dyDescent="0.25">
      <c r="A2" s="4" t="s">
        <v>38</v>
      </c>
      <c r="B2" s="4" t="s">
        <v>39</v>
      </c>
      <c r="D2" s="4" t="s">
        <v>5</v>
      </c>
      <c r="E2" s="4" t="s">
        <v>6</v>
      </c>
      <c r="F2" s="4" t="s">
        <v>40</v>
      </c>
      <c r="H2" s="4" t="s">
        <v>5</v>
      </c>
      <c r="I2" s="4" t="s">
        <v>26</v>
      </c>
      <c r="K2" s="17" t="s">
        <v>5</v>
      </c>
      <c r="L2" s="4" t="s">
        <v>41</v>
      </c>
      <c r="M2" s="4" t="s">
        <v>42</v>
      </c>
      <c r="O2" s="4" t="s">
        <v>5</v>
      </c>
      <c r="P2" s="4" t="s">
        <v>6</v>
      </c>
      <c r="Q2" s="4" t="s">
        <v>40</v>
      </c>
    </row>
    <row r="3" spans="1:17" x14ac:dyDescent="0.25">
      <c r="A3" s="5" t="s">
        <v>43</v>
      </c>
      <c r="B3" s="5">
        <v>25</v>
      </c>
      <c r="D3" s="5" t="s">
        <v>13</v>
      </c>
      <c r="E3" s="5" t="s">
        <v>14</v>
      </c>
      <c r="F3" s="5">
        <v>125</v>
      </c>
      <c r="H3" s="5" t="s">
        <v>13</v>
      </c>
      <c r="I3" s="5">
        <f>COUNTIF(H3:H16,I2)</f>
        <v>2</v>
      </c>
      <c r="K3" s="5" t="s">
        <v>13</v>
      </c>
      <c r="L3" s="5" t="s">
        <v>14</v>
      </c>
      <c r="M3" s="5">
        <v>1</v>
      </c>
      <c r="O3" s="5" t="s">
        <v>13</v>
      </c>
      <c r="P3" s="5" t="s">
        <v>14</v>
      </c>
      <c r="Q3" s="5">
        <v>125</v>
      </c>
    </row>
    <row r="4" spans="1:17" x14ac:dyDescent="0.25">
      <c r="A4" s="5" t="s">
        <v>44</v>
      </c>
      <c r="B4" s="5">
        <v>45</v>
      </c>
      <c r="D4" s="5" t="s">
        <v>15</v>
      </c>
      <c r="E4" s="5" t="s">
        <v>16</v>
      </c>
      <c r="F4" s="5">
        <v>25</v>
      </c>
      <c r="H4" s="18" t="s">
        <v>15</v>
      </c>
      <c r="I4" s="19"/>
      <c r="K4" s="5" t="s">
        <v>15</v>
      </c>
      <c r="L4" s="5" t="s">
        <v>16</v>
      </c>
      <c r="M4" s="5">
        <v>1</v>
      </c>
      <c r="O4" s="5" t="s">
        <v>15</v>
      </c>
      <c r="P4" s="5" t="s">
        <v>16</v>
      </c>
      <c r="Q4" s="5">
        <v>25</v>
      </c>
    </row>
    <row r="5" spans="1:17" x14ac:dyDescent="0.25">
      <c r="A5" s="5" t="s">
        <v>45</v>
      </c>
      <c r="B5" s="5">
        <v>15</v>
      </c>
      <c r="D5" s="5" t="s">
        <v>26</v>
      </c>
      <c r="E5" s="5" t="s">
        <v>46</v>
      </c>
      <c r="F5" s="5">
        <v>86</v>
      </c>
      <c r="H5" s="5" t="s">
        <v>26</v>
      </c>
      <c r="I5" s="7"/>
      <c r="K5" s="5" t="s">
        <v>26</v>
      </c>
      <c r="L5" s="5" t="s">
        <v>46</v>
      </c>
      <c r="M5" s="5">
        <v>1</v>
      </c>
      <c r="O5" s="5" t="s">
        <v>26</v>
      </c>
      <c r="P5" s="5" t="s">
        <v>46</v>
      </c>
      <c r="Q5" s="5">
        <v>86</v>
      </c>
    </row>
    <row r="6" spans="1:17" x14ac:dyDescent="0.25">
      <c r="A6" s="5" t="s">
        <v>47</v>
      </c>
      <c r="B6" s="5">
        <v>45</v>
      </c>
      <c r="D6" s="5" t="s">
        <v>17</v>
      </c>
      <c r="E6" s="5" t="s">
        <v>18</v>
      </c>
      <c r="F6" s="5">
        <v>45</v>
      </c>
      <c r="H6" s="5" t="s">
        <v>17</v>
      </c>
      <c r="I6" s="7"/>
      <c r="K6" s="5" t="s">
        <v>17</v>
      </c>
      <c r="L6" s="5" t="s">
        <v>18</v>
      </c>
      <c r="M6" s="5">
        <v>1</v>
      </c>
      <c r="O6" s="5" t="s">
        <v>17</v>
      </c>
      <c r="P6" s="5" t="s">
        <v>18</v>
      </c>
      <c r="Q6" s="5">
        <v>45</v>
      </c>
    </row>
    <row r="7" spans="1:17" x14ac:dyDescent="0.25">
      <c r="A7" s="5" t="s">
        <v>48</v>
      </c>
      <c r="B7" s="5">
        <v>87</v>
      </c>
      <c r="D7" s="5" t="s">
        <v>28</v>
      </c>
      <c r="E7" s="5" t="s">
        <v>20</v>
      </c>
      <c r="F7" s="5">
        <v>103</v>
      </c>
      <c r="H7" s="5" t="s">
        <v>28</v>
      </c>
      <c r="I7" s="7"/>
      <c r="K7" s="5" t="s">
        <v>28</v>
      </c>
      <c r="L7" s="5" t="s">
        <v>20</v>
      </c>
      <c r="M7" s="5">
        <v>1</v>
      </c>
      <c r="O7" s="5" t="s">
        <v>28</v>
      </c>
      <c r="P7" s="5" t="s">
        <v>20</v>
      </c>
      <c r="Q7" s="5">
        <v>103</v>
      </c>
    </row>
    <row r="8" spans="1:17" x14ac:dyDescent="0.25">
      <c r="A8" s="5" t="s">
        <v>49</v>
      </c>
      <c r="B8" s="5">
        <v>62</v>
      </c>
      <c r="D8" s="5" t="s">
        <v>21</v>
      </c>
      <c r="E8" s="5" t="s">
        <v>22</v>
      </c>
      <c r="F8" s="5">
        <v>15</v>
      </c>
      <c r="H8" s="5" t="s">
        <v>15</v>
      </c>
      <c r="I8" s="7"/>
      <c r="K8" s="5" t="s">
        <v>21</v>
      </c>
      <c r="L8" s="5" t="s">
        <v>22</v>
      </c>
      <c r="M8" s="5">
        <v>1</v>
      </c>
      <c r="O8" s="5" t="s">
        <v>21</v>
      </c>
      <c r="P8" s="5" t="s">
        <v>22</v>
      </c>
      <c r="Q8" s="5">
        <v>15</v>
      </c>
    </row>
    <row r="9" spans="1:17" x14ac:dyDescent="0.25">
      <c r="A9" s="5" t="s">
        <v>43</v>
      </c>
      <c r="B9" s="5">
        <v>23</v>
      </c>
      <c r="D9" s="5" t="s">
        <v>23</v>
      </c>
      <c r="E9" s="5" t="s">
        <v>24</v>
      </c>
      <c r="F9" s="5">
        <v>68</v>
      </c>
      <c r="H9" s="5" t="s">
        <v>23</v>
      </c>
      <c r="I9" s="7"/>
      <c r="K9" s="5" t="s">
        <v>23</v>
      </c>
      <c r="L9" s="5" t="s">
        <v>24</v>
      </c>
      <c r="M9" s="5">
        <v>1</v>
      </c>
      <c r="O9" s="5" t="s">
        <v>23</v>
      </c>
      <c r="P9" s="5" t="s">
        <v>24</v>
      </c>
      <c r="Q9" s="5">
        <v>68</v>
      </c>
    </row>
    <row r="10" spans="1:17" x14ac:dyDescent="0.25">
      <c r="A10" s="5" t="s">
        <v>43</v>
      </c>
      <c r="B10" s="5">
        <v>12</v>
      </c>
      <c r="D10" s="5" t="s">
        <v>15</v>
      </c>
      <c r="E10" s="5" t="s">
        <v>16</v>
      </c>
      <c r="F10" s="5">
        <v>99</v>
      </c>
      <c r="H10" s="5" t="s">
        <v>15</v>
      </c>
      <c r="I10" s="7"/>
      <c r="K10" s="5" t="s">
        <v>15</v>
      </c>
      <c r="L10" s="5" t="s">
        <v>16</v>
      </c>
      <c r="M10" s="5">
        <v>1</v>
      </c>
      <c r="O10" s="5" t="s">
        <v>15</v>
      </c>
      <c r="P10" s="5" t="s">
        <v>16</v>
      </c>
      <c r="Q10" s="5">
        <v>99</v>
      </c>
    </row>
    <row r="11" spans="1:17" x14ac:dyDescent="0.25">
      <c r="A11" s="5" t="s">
        <v>47</v>
      </c>
      <c r="B11" s="5">
        <v>45</v>
      </c>
      <c r="D11" s="5" t="s">
        <v>13</v>
      </c>
      <c r="E11" s="5" t="s">
        <v>50</v>
      </c>
      <c r="F11" s="5">
        <v>83</v>
      </c>
      <c r="H11" s="5" t="s">
        <v>13</v>
      </c>
      <c r="I11" s="7"/>
      <c r="K11" s="5" t="s">
        <v>13</v>
      </c>
      <c r="L11" s="5" t="s">
        <v>50</v>
      </c>
      <c r="M11" s="5">
        <v>1</v>
      </c>
      <c r="O11" s="5" t="s">
        <v>13</v>
      </c>
      <c r="P11" s="5" t="s">
        <v>50</v>
      </c>
      <c r="Q11" s="5">
        <v>83</v>
      </c>
    </row>
    <row r="12" spans="1:17" x14ac:dyDescent="0.25">
      <c r="A12" s="5" t="s">
        <v>44</v>
      </c>
      <c r="B12" s="5">
        <v>25</v>
      </c>
      <c r="D12" s="5" t="s">
        <v>15</v>
      </c>
      <c r="E12" s="5" t="s">
        <v>25</v>
      </c>
      <c r="F12" s="5">
        <v>28</v>
      </c>
      <c r="H12" s="5" t="s">
        <v>15</v>
      </c>
      <c r="I12" s="7"/>
      <c r="K12" s="5" t="s">
        <v>15</v>
      </c>
      <c r="L12" s="5" t="s">
        <v>25</v>
      </c>
      <c r="M12" s="5">
        <v>1</v>
      </c>
      <c r="O12" s="5" t="s">
        <v>15</v>
      </c>
      <c r="P12" s="5" t="s">
        <v>25</v>
      </c>
      <c r="Q12" s="5">
        <v>28</v>
      </c>
    </row>
    <row r="13" spans="1:17" x14ac:dyDescent="0.25">
      <c r="A13" s="5" t="s">
        <v>48</v>
      </c>
      <c r="B13" s="5">
        <v>45</v>
      </c>
      <c r="D13" s="5" t="s">
        <v>26</v>
      </c>
      <c r="E13" s="5" t="s">
        <v>27</v>
      </c>
      <c r="F13" s="5">
        <v>78</v>
      </c>
      <c r="H13" s="5" t="s">
        <v>26</v>
      </c>
      <c r="I13" s="7"/>
      <c r="K13" s="5" t="s">
        <v>26</v>
      </c>
      <c r="L13" s="5" t="s">
        <v>27</v>
      </c>
      <c r="M13" s="5">
        <v>1</v>
      </c>
      <c r="O13" s="5" t="s">
        <v>26</v>
      </c>
      <c r="P13" s="5" t="s">
        <v>27</v>
      </c>
      <c r="Q13" s="5">
        <v>78</v>
      </c>
    </row>
    <row r="14" spans="1:17" x14ac:dyDescent="0.25">
      <c r="A14" s="5" t="s">
        <v>43</v>
      </c>
      <c r="B14" s="5">
        <v>65</v>
      </c>
      <c r="D14" s="5" t="s">
        <v>13</v>
      </c>
      <c r="E14" s="5" t="s">
        <v>14</v>
      </c>
      <c r="F14" s="5">
        <v>125</v>
      </c>
      <c r="H14" s="5" t="s">
        <v>13</v>
      </c>
      <c r="I14" s="7"/>
      <c r="K14" s="5" t="s">
        <v>13</v>
      </c>
      <c r="L14" s="5" t="s">
        <v>14</v>
      </c>
      <c r="M14" s="5">
        <v>1</v>
      </c>
      <c r="O14" s="5" t="s">
        <v>13</v>
      </c>
      <c r="P14" s="5" t="s">
        <v>14</v>
      </c>
      <c r="Q14" s="5">
        <v>125</v>
      </c>
    </row>
    <row r="15" spans="1:17" x14ac:dyDescent="0.25">
      <c r="A15" s="5" t="s">
        <v>49</v>
      </c>
      <c r="B15" s="5">
        <v>88</v>
      </c>
      <c r="D15" s="5" t="s">
        <v>28</v>
      </c>
      <c r="E15" s="5" t="s">
        <v>29</v>
      </c>
      <c r="F15" s="5">
        <v>73</v>
      </c>
      <c r="H15" s="5" t="s">
        <v>28</v>
      </c>
      <c r="I15" s="7"/>
      <c r="K15" s="5" t="s">
        <v>28</v>
      </c>
      <c r="L15" s="5" t="s">
        <v>29</v>
      </c>
      <c r="M15" s="5">
        <v>1</v>
      </c>
      <c r="O15" s="5" t="s">
        <v>28</v>
      </c>
      <c r="P15" s="5" t="s">
        <v>29</v>
      </c>
      <c r="Q15" s="5">
        <v>73</v>
      </c>
    </row>
    <row r="16" spans="1:17" x14ac:dyDescent="0.25">
      <c r="A16" s="5" t="s">
        <v>44</v>
      </c>
      <c r="B16" s="5">
        <v>32</v>
      </c>
      <c r="D16" s="5" t="s">
        <v>21</v>
      </c>
      <c r="E16" s="5" t="s">
        <v>51</v>
      </c>
      <c r="F16" s="5">
        <v>91</v>
      </c>
      <c r="H16" s="5" t="s">
        <v>21</v>
      </c>
      <c r="I16" s="7"/>
      <c r="K16" s="5" t="s">
        <v>21</v>
      </c>
      <c r="L16" s="5" t="s">
        <v>51</v>
      </c>
      <c r="M16" s="5">
        <v>1</v>
      </c>
      <c r="O16" s="5" t="s">
        <v>21</v>
      </c>
      <c r="P16" s="5" t="s">
        <v>51</v>
      </c>
      <c r="Q16" s="5">
        <v>91</v>
      </c>
    </row>
    <row r="17" spans="1:17" x14ac:dyDescent="0.25">
      <c r="A17" s="7"/>
      <c r="B17" s="7"/>
      <c r="D17" s="7"/>
      <c r="E17" s="7"/>
      <c r="F17" s="7"/>
      <c r="O17" s="7"/>
      <c r="P17" s="7"/>
      <c r="Q17" s="7"/>
    </row>
    <row r="18" spans="1:17" x14ac:dyDescent="0.25">
      <c r="A18" s="9" t="s">
        <v>38</v>
      </c>
      <c r="B18" s="9" t="s">
        <v>40</v>
      </c>
      <c r="D18" s="9" t="s">
        <v>5</v>
      </c>
      <c r="E18" s="9" t="s">
        <v>6</v>
      </c>
      <c r="F18" s="9" t="s">
        <v>52</v>
      </c>
      <c r="K18" s="9" t="s">
        <v>5</v>
      </c>
      <c r="L18" s="9" t="s">
        <v>6</v>
      </c>
      <c r="M18" s="9" t="s">
        <v>53</v>
      </c>
      <c r="O18" s="9" t="s">
        <v>5</v>
      </c>
      <c r="P18" s="9" t="s">
        <v>6</v>
      </c>
      <c r="Q18" s="9" t="s">
        <v>54</v>
      </c>
    </row>
    <row r="19" spans="1:17" x14ac:dyDescent="0.25">
      <c r="A19" s="4" t="s">
        <v>43</v>
      </c>
      <c r="B19" s="5">
        <f>SUMIF(A3:A16,A19,B3:B16)</f>
        <v>125</v>
      </c>
      <c r="D19" s="4" t="s">
        <v>15</v>
      </c>
      <c r="E19" s="4" t="s">
        <v>16</v>
      </c>
      <c r="F19" s="5">
        <f>SUMIFS(F3:F16,D3:D16,D19,E3:E16,E19)</f>
        <v>124</v>
      </c>
      <c r="K19" s="4" t="s">
        <v>15</v>
      </c>
      <c r="L19" s="4" t="s">
        <v>16</v>
      </c>
      <c r="M19" s="5">
        <f>COUNTIFS(L3:L16,L19,K3:K16,K19)</f>
        <v>2</v>
      </c>
      <c r="O19" s="4" t="s">
        <v>13</v>
      </c>
      <c r="P19" s="4" t="s">
        <v>14</v>
      </c>
      <c r="Q19" s="5">
        <f>AVERAGEIFS(Q3:Q16,O3:O16,O19,P3:P16,P19)</f>
        <v>125</v>
      </c>
    </row>
    <row r="21" spans="1:17" x14ac:dyDescent="0.25">
      <c r="O21" s="20" t="s">
        <v>55</v>
      </c>
      <c r="P21" s="20"/>
      <c r="Q21" s="20"/>
    </row>
    <row r="22" spans="1:17" x14ac:dyDescent="0.25">
      <c r="O22" s="13">
        <f>AVERAGEIFS(Q3:Q16,Q3:Q16, "&gt;70")</f>
        <v>95.888888888888886</v>
      </c>
      <c r="P22" s="13"/>
      <c r="Q22" s="13"/>
    </row>
  </sheetData>
  <mergeCells count="7">
    <mergeCell ref="O22:Q22"/>
    <mergeCell ref="A1:B1"/>
    <mergeCell ref="D1:F1"/>
    <mergeCell ref="H1:I1"/>
    <mergeCell ref="K1:M1"/>
    <mergeCell ref="O1:Q1"/>
    <mergeCell ref="O21:Q21"/>
  </mergeCells>
  <dataValidations count="6">
    <dataValidation type="list" allowBlank="1" showInputMessage="1" showErrorMessage="1" sqref="A19" xr:uid="{5A83A101-275A-4068-8D61-F12E5567DA60}">
      <formula1>$A$3:$A$16</formula1>
    </dataValidation>
    <dataValidation type="list" allowBlank="1" showInputMessage="1" showErrorMessage="1" sqref="D19 O19" xr:uid="{D686E7EC-7FCE-427A-91FA-2969F629E3EC}">
      <formula1>$D$3:$D$16</formula1>
    </dataValidation>
    <dataValidation type="list" allowBlank="1" showInputMessage="1" showErrorMessage="1" sqref="E19 P19" xr:uid="{E674DCD3-2C6D-4338-81CF-A16B499CD093}">
      <formula1>$E$3:$E$16</formula1>
    </dataValidation>
    <dataValidation type="list" allowBlank="1" showInputMessage="1" showErrorMessage="1" sqref="I2" xr:uid="{7AC9D4EA-2CAB-445D-A3AA-991AB3AA62F7}">
      <formula1>$H$3:$H$16</formula1>
    </dataValidation>
    <dataValidation type="list" allowBlank="1" showInputMessage="1" showErrorMessage="1" sqref="K19" xr:uid="{C3029496-15C2-4D8C-812B-B3438358E68C}">
      <formula1>$K$3:$K$16</formula1>
    </dataValidation>
    <dataValidation type="list" allowBlank="1" showInputMessage="1" showErrorMessage="1" sqref="L19" xr:uid="{D1DBB895-D05F-4966-90F6-C6C218BC0B5A}">
      <formula1>$L$3:$L$16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2026-06-17T01:41:58Z</dcterms:created>
  <dcterms:modified xsi:type="dcterms:W3CDTF">2026-06-17T01:43:26Z</dcterms:modified>
</cp:coreProperties>
</file>