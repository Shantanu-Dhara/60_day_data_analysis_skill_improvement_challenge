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Within_29th May 2026_ I_Become Data_Analyst_With_WsCube\day_05\"/>
    </mc:Choice>
  </mc:AlternateContent>
  <xr:revisionPtr revIDLastSave="0" documentId="13_ncr:1_{3E9C9CB5-B9AF-41D7-ABE4-1258778D80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1" r:id="rId1"/>
    <sheet name="city_wise_revenue" sheetId="3" r:id="rId2"/>
    <sheet name="product_with_high_revenue" sheetId="4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1" l="1"/>
  <c r="R10" i="1"/>
  <c r="G2" i="1"/>
  <c r="I2" i="1" s="1"/>
  <c r="R4" i="1"/>
  <c r="R8" i="1"/>
  <c r="R6" i="1"/>
  <c r="R5" i="1"/>
  <c r="G3" i="1"/>
  <c r="I3" i="1" s="1"/>
  <c r="G4" i="1"/>
  <c r="I4" i="1" s="1"/>
  <c r="G5" i="1"/>
  <c r="H5" i="1" s="1"/>
  <c r="G6" i="1"/>
  <c r="B3" i="4" s="1"/>
  <c r="H4" i="1" l="1"/>
  <c r="B4" i="3"/>
  <c r="R9" i="1"/>
  <c r="H3" i="1"/>
  <c r="R3" i="1"/>
  <c r="H2" i="1"/>
  <c r="B2" i="3"/>
  <c r="I6" i="1"/>
  <c r="B3" i="3"/>
  <c r="I5" i="1"/>
  <c r="B2" i="4"/>
  <c r="D14" i="4" s="1"/>
  <c r="H6" i="1"/>
  <c r="B4" i="4"/>
  <c r="R2" i="1"/>
  <c r="R7" i="1" l="1"/>
  <c r="E14" i="4"/>
</calcChain>
</file>

<file path=xl/sharedStrings.xml><?xml version="1.0" encoding="utf-8"?>
<sst xmlns="http://schemas.openxmlformats.org/spreadsheetml/2006/main" count="67" uniqueCount="52">
  <si>
    <t>OrderID</t>
  </si>
  <si>
    <t>Date</t>
  </si>
  <si>
    <t>City</t>
  </si>
  <si>
    <t>Product</t>
  </si>
  <si>
    <t>Qty</t>
  </si>
  <si>
    <t>Price</t>
  </si>
  <si>
    <t>Delhi</t>
  </si>
  <si>
    <t>Pen</t>
  </si>
  <si>
    <t>Mumbai</t>
  </si>
  <si>
    <t>Notebook</t>
  </si>
  <si>
    <t>Kolkata</t>
  </si>
  <si>
    <t>Pencil</t>
  </si>
  <si>
    <t>Revenue</t>
  </si>
  <si>
    <t>Q1) What is the total revenue ?</t>
  </si>
  <si>
    <t>Q5) How many orders placed in delhi ?</t>
  </si>
  <si>
    <t>SUM</t>
  </si>
  <si>
    <t>COUNT</t>
  </si>
  <si>
    <t>AVERAGE</t>
  </si>
  <si>
    <t>SUMIF</t>
  </si>
  <si>
    <t>COUNTIF</t>
  </si>
  <si>
    <t>COUNTIFS</t>
  </si>
  <si>
    <t>SUMIFS</t>
  </si>
  <si>
    <t>Order Size</t>
  </si>
  <si>
    <t>High Value Notebook</t>
  </si>
  <si>
    <t>By using Formula</t>
  </si>
  <si>
    <t>City-Wise Total Revenue</t>
  </si>
  <si>
    <t>Step 1: Select that city column and copy the whole column and pase it in new sheet</t>
  </si>
  <si>
    <t xml:space="preserve">Step 2: Select that column and remove all duplicates city name from the new sheet were you paste it </t>
  </si>
  <si>
    <t xml:space="preserve">Step 3: Now you get the unique city name </t>
  </si>
  <si>
    <t xml:space="preserve">Step 4 : Now you just need to calculate their total revenue by using sumif formula </t>
  </si>
  <si>
    <t>By using pivot tables</t>
  </si>
  <si>
    <t>Step 1: Select that entire data</t>
  </si>
  <si>
    <t>Step 2: Go to insert =&gt; then pivot table =&gt; Click okk</t>
  </si>
  <si>
    <t>Step 3: In pivot field: Drag city =&gt; in Rows and Drag Revenue =&gt; in Values and make sure the values is = sum of revenue</t>
  </si>
  <si>
    <t>Product With High Revenue</t>
  </si>
  <si>
    <t>Step 1: Select that product column and copy the whole column and pase it in new sheet</t>
  </si>
  <si>
    <t xml:space="preserve">Step 2: Select that column and remove all duplicates product name from the new sheet were you paste it </t>
  </si>
  <si>
    <t xml:space="preserve">Step 3: Now you get the unique product name </t>
  </si>
  <si>
    <t>Step 3: In pivot field: Drag product =&gt; in Rows and Drag Revenue =&gt; in Values and make sure the values is = sum of revenue</t>
  </si>
  <si>
    <t>Q1) Which product generated maximum revenue?</t>
  </si>
  <si>
    <t xml:space="preserve">Step 4 : Now you just need to calculate product that generate high revenue </t>
  </si>
  <si>
    <t>Step 5: Formula =Index(product table array), match(max(revenue table array), again revenue table array, 0 for exact match))</t>
  </si>
  <si>
    <t>Q2) Total revenue from delhi ?</t>
  </si>
  <si>
    <t>Q3) Total revenue of pen in delhi ?</t>
  </si>
  <si>
    <t>Q4) How many orders were placed ?</t>
  </si>
  <si>
    <t>Q6) How many high value notebook orders ?</t>
  </si>
  <si>
    <t>Q7) How many pen orders in delhi ?</t>
  </si>
  <si>
    <t>Q8) What is the average order revenue ?</t>
  </si>
  <si>
    <t>Q9) What is the average order in delhi ?</t>
  </si>
  <si>
    <t>AVERAGEIF</t>
  </si>
  <si>
    <t>Q10) What is the average revenue for delhi city for pen ?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</si>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</sst>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B1" workbookViewId="0">
      <pane ySplit="1" topLeftCell="A2" activePane="bottomLeft" state="frozen"/>
      <selection pane="bottomLeft" activeCell="H15" sqref="H15"/>
    </sheetView>
  </sheetViews>
  <sheetFormatPr defaultColWidth="9" defaultRowHeight="15"/>
  <cols>
    <col min="1" max="1" width="8" style="1" customWidth="1"/>
    <col min="2" max="2" width="10.42578125" style="2" customWidth="1"/>
    <col min="3" max="3" width="8.28515625" style="2" customWidth="1"/>
    <col min="4" max="4" width="9.85546875" style="3" customWidth="1"/>
    <col min="5" max="5" width="5.7109375" customWidth="1"/>
    <col min="6" max="6" width="6.85546875" customWidth="1"/>
    <col min="8" max="8" width="10.140625" bestFit="1" customWidth="1"/>
    <col min="9" max="9" width="20.140625" bestFit="1" customWidth="1"/>
    <col min="10" max="10" width="20.140625" customWidth="1"/>
    <col min="15" max="15" width="6.7109375" customWidth="1"/>
    <col min="16" max="16" width="7.85546875" customWidth="1"/>
    <col min="17" max="17" width="4.140625" customWidth="1"/>
    <col min="19" max="19" width="12.42578125" customWidth="1"/>
  </cols>
  <sheetData>
    <row r="1" spans="1:19">
      <c r="A1" s="4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12</v>
      </c>
      <c r="H1" s="9" t="s">
        <v>22</v>
      </c>
      <c r="I1" s="9" t="s">
        <v>23</v>
      </c>
      <c r="J1" s="13"/>
    </row>
    <row r="2" spans="1:19">
      <c r="A2" s="5">
        <v>3001</v>
      </c>
      <c r="B2" s="10">
        <v>45658</v>
      </c>
      <c r="C2" s="11" t="s">
        <v>6</v>
      </c>
      <c r="D2" s="11" t="s">
        <v>7</v>
      </c>
      <c r="E2" s="11">
        <v>10</v>
      </c>
      <c r="F2" s="11">
        <v>5</v>
      </c>
      <c r="G2" s="12">
        <f>E2*F2</f>
        <v>50</v>
      </c>
      <c r="H2" s="12" t="str">
        <f>IF(G2 &gt; 500, "High", "Low")</f>
        <v>Low</v>
      </c>
      <c r="I2" s="12" t="str">
        <f>IF(AND(D2 = "Notebook", G2 &gt; 500),  "Yes", "No")</f>
        <v>No</v>
      </c>
      <c r="J2" s="14"/>
      <c r="K2" s="15" t="s">
        <v>13</v>
      </c>
      <c r="L2" s="15"/>
      <c r="M2" s="15"/>
      <c r="N2" s="15"/>
      <c r="O2" s="15"/>
      <c r="P2" s="15"/>
      <c r="Q2" s="15"/>
      <c r="R2" s="16">
        <f>SUM(G2:G6)</f>
        <v>1190</v>
      </c>
      <c r="S2" s="17" t="s">
        <v>15</v>
      </c>
    </row>
    <row r="3" spans="1:19">
      <c r="A3" s="5">
        <v>3002</v>
      </c>
      <c r="B3" s="10">
        <v>45658</v>
      </c>
      <c r="C3" s="11" t="s">
        <v>8</v>
      </c>
      <c r="D3" s="11" t="s">
        <v>9</v>
      </c>
      <c r="E3" s="11">
        <v>8</v>
      </c>
      <c r="F3" s="11">
        <v>50</v>
      </c>
      <c r="G3" s="12">
        <f>E3*F3</f>
        <v>400</v>
      </c>
      <c r="H3" s="12" t="str">
        <f>IF(G3 &gt; 500, "High", "Low")</f>
        <v>Low</v>
      </c>
      <c r="I3" s="12" t="str">
        <f>IF(AND(D3 = "Notebook", G3 &gt; 500),  "Yes", "No")</f>
        <v>No</v>
      </c>
      <c r="J3" s="14"/>
      <c r="K3" s="18" t="s">
        <v>42</v>
      </c>
      <c r="L3" s="15"/>
      <c r="M3" s="15"/>
      <c r="N3" s="15"/>
      <c r="O3" s="15"/>
      <c r="P3" s="15"/>
      <c r="Q3" s="15"/>
      <c r="R3" s="16">
        <f>SUMIF(C2:C6, C2,G2:G6)</f>
        <v>775</v>
      </c>
      <c r="S3" s="17" t="s">
        <v>18</v>
      </c>
    </row>
    <row r="4" spans="1:19">
      <c r="A4" s="5">
        <v>3003</v>
      </c>
      <c r="B4" s="10">
        <v>45659</v>
      </c>
      <c r="C4" s="11" t="s">
        <v>6</v>
      </c>
      <c r="D4" s="11" t="s">
        <v>7</v>
      </c>
      <c r="E4" s="11">
        <v>25</v>
      </c>
      <c r="F4" s="11">
        <v>5</v>
      </c>
      <c r="G4" s="12">
        <f>E4*F4</f>
        <v>125</v>
      </c>
      <c r="H4" s="12" t="str">
        <f>IF(G4 &gt; 500, "High", "Low")</f>
        <v>Low</v>
      </c>
      <c r="I4" s="12" t="str">
        <f>IF(AND(D4 = "Notebook", G4 &gt; 500),  "Yes", "No")</f>
        <v>No</v>
      </c>
      <c r="J4" s="14"/>
      <c r="K4" s="18" t="s">
        <v>43</v>
      </c>
      <c r="L4" s="15"/>
      <c r="M4" s="15"/>
      <c r="N4" s="15"/>
      <c r="O4" s="15"/>
      <c r="P4" s="15"/>
      <c r="Q4" s="15"/>
      <c r="R4" s="16">
        <f>SUMIFS(G2:G6,C2:C6,C2,D2:D6,D2)</f>
        <v>175</v>
      </c>
      <c r="S4" s="17" t="s">
        <v>21</v>
      </c>
    </row>
    <row r="5" spans="1:19">
      <c r="A5" s="5">
        <v>3004</v>
      </c>
      <c r="B5" s="10">
        <v>45660</v>
      </c>
      <c r="C5" s="11" t="s">
        <v>10</v>
      </c>
      <c r="D5" s="11" t="s">
        <v>11</v>
      </c>
      <c r="E5" s="11">
        <v>5</v>
      </c>
      <c r="F5" s="11">
        <v>3</v>
      </c>
      <c r="G5" s="12">
        <f>E5*F5</f>
        <v>15</v>
      </c>
      <c r="H5" s="12" t="str">
        <f>IF(G5 &gt; 500, "High", "Low")</f>
        <v>Low</v>
      </c>
      <c r="I5" s="12" t="str">
        <f>IF(AND(D5 = "Notebook", G5 &gt; 500),  "Yes", "No")</f>
        <v>No</v>
      </c>
      <c r="J5" s="14"/>
      <c r="K5" s="18" t="s">
        <v>44</v>
      </c>
      <c r="L5" s="15"/>
      <c r="M5" s="15"/>
      <c r="N5" s="15"/>
      <c r="O5" s="15"/>
      <c r="P5" s="15"/>
      <c r="Q5" s="15"/>
      <c r="R5" s="16">
        <f>COUNT(A2:A6)</f>
        <v>5</v>
      </c>
      <c r="S5" s="17" t="s">
        <v>16</v>
      </c>
    </row>
    <row r="6" spans="1:19">
      <c r="A6" s="5">
        <v>3005</v>
      </c>
      <c r="B6" s="10">
        <v>45660</v>
      </c>
      <c r="C6" s="11" t="s">
        <v>6</v>
      </c>
      <c r="D6" s="11" t="s">
        <v>9</v>
      </c>
      <c r="E6" s="11">
        <v>12</v>
      </c>
      <c r="F6" s="11">
        <v>50</v>
      </c>
      <c r="G6" s="12">
        <f>E6*F6</f>
        <v>600</v>
      </c>
      <c r="H6" s="12" t="str">
        <f>IF(G6 &gt; 500, "High", "Low")</f>
        <v>High</v>
      </c>
      <c r="I6" s="12" t="str">
        <f>IF(AND(D6 = "Notebook", G6 &gt; 500),  "Yes", "No")</f>
        <v>Yes</v>
      </c>
      <c r="J6" s="14"/>
      <c r="K6" s="18" t="s">
        <v>14</v>
      </c>
      <c r="L6" s="15"/>
      <c r="M6" s="15"/>
      <c r="N6" s="15"/>
      <c r="O6" s="15"/>
      <c r="P6" s="15"/>
      <c r="Q6" s="15"/>
      <c r="R6" s="16">
        <f xml:space="preserve"> COUNTIF(C2:C6, "Delhi")</f>
        <v>3</v>
      </c>
      <c r="S6" s="17" t="s">
        <v>19</v>
      </c>
    </row>
    <row r="7" spans="1:19">
      <c r="K7" s="18" t="s">
        <v>45</v>
      </c>
      <c r="L7" s="15"/>
      <c r="M7" s="15"/>
      <c r="N7" s="15"/>
      <c r="O7" s="15"/>
      <c r="P7" s="15"/>
      <c r="Q7" s="15"/>
      <c r="R7" s="16">
        <f>COUNTIF(I2:I6,I6)</f>
        <v>1</v>
      </c>
      <c r="S7" s="17" t="s">
        <v>19</v>
      </c>
    </row>
    <row r="8" spans="1:19">
      <c r="K8" s="18" t="s">
        <v>46</v>
      </c>
      <c r="L8" s="15"/>
      <c r="M8" s="15"/>
      <c r="N8" s="15"/>
      <c r="O8" s="15"/>
      <c r="P8" s="15"/>
      <c r="Q8" s="15"/>
      <c r="R8" s="16">
        <f>COUNTIFS(C2:C6, C2,D2:D6,D2)</f>
        <v>2</v>
      </c>
      <c r="S8" s="17" t="s">
        <v>20</v>
      </c>
    </row>
    <row r="9" spans="1:19">
      <c r="K9" s="18" t="s">
        <v>47</v>
      </c>
      <c r="L9" s="15"/>
      <c r="M9" s="15"/>
      <c r="N9" s="15"/>
      <c r="O9" s="15"/>
      <c r="P9" s="15"/>
      <c r="Q9" s="15"/>
      <c r="R9" s="16">
        <f>AVERAGE(G2:G6)</f>
        <v>238</v>
      </c>
      <c r="S9" s="17" t="s">
        <v>17</v>
      </c>
    </row>
    <row r="10" spans="1:19">
      <c r="K10" s="15" t="s">
        <v>48</v>
      </c>
      <c r="L10" s="15"/>
      <c r="M10" s="15"/>
      <c r="N10" s="15"/>
      <c r="O10" s="15"/>
      <c r="P10" s="15"/>
      <c r="Q10" s="15"/>
      <c r="R10" s="16">
        <f>AVERAGEIF(C2:C6,C2,G2:G6)</f>
        <v>258.33333333333331</v>
      </c>
      <c r="S10" s="19" t="s">
        <v>49</v>
      </c>
    </row>
    <row r="11" spans="1:19">
      <c r="K11" s="15" t="s">
        <v>50</v>
      </c>
      <c r="L11" s="15"/>
      <c r="M11" s="15"/>
      <c r="N11" s="15"/>
      <c r="O11" s="15"/>
      <c r="P11" s="15"/>
      <c r="Q11" s="15"/>
      <c r="R11" s="16">
        <f>AVERAGEIFS(G2:G6,C2:C6,C2,D2:D6,D2)</f>
        <v>87.5</v>
      </c>
      <c r="S11" s="19" t="s">
        <v>51</v>
      </c>
    </row>
    <row r="12" spans="1:19">
      <c r="K12" s="7"/>
      <c r="L12" s="7"/>
      <c r="M12" s="7"/>
      <c r="N12" s="7"/>
      <c r="O12" s="7"/>
    </row>
  </sheetData>
  <mergeCells count="11">
    <mergeCell ref="K2:Q2"/>
    <mergeCell ref="K5:Q5"/>
    <mergeCell ref="K9:Q9"/>
    <mergeCell ref="K3:Q3"/>
    <mergeCell ref="K6:Q6"/>
    <mergeCell ref="K8:Q8"/>
    <mergeCell ref="K12:O12"/>
    <mergeCell ref="K11:Q11"/>
    <mergeCell ref="K4:Q4"/>
    <mergeCell ref="K7:Q7"/>
    <mergeCell ref="K10:Q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1682-B1AC-40DF-B9A2-7A6FFBD29AC6}">
  <dimension ref="A1:O19"/>
  <sheetViews>
    <sheetView workbookViewId="0">
      <selection activeCell="G17" sqref="G17"/>
    </sheetView>
  </sheetViews>
  <sheetFormatPr defaultRowHeight="15"/>
  <cols>
    <col min="2" max="2" width="18.42578125" customWidth="1"/>
  </cols>
  <sheetData>
    <row r="1" spans="1:15" ht="17.25" customHeight="1">
      <c r="A1" s="25" t="s">
        <v>25</v>
      </c>
      <c r="B1" s="25"/>
      <c r="D1" s="22" t="s">
        <v>24</v>
      </c>
      <c r="E1" s="22"/>
      <c r="F1" s="22"/>
      <c r="G1" s="22"/>
    </row>
    <row r="2" spans="1:15" ht="18.75" customHeight="1">
      <c r="A2" s="11" t="s">
        <v>6</v>
      </c>
      <c r="B2" s="12">
        <f>SUMIF(raw_data!C2:C6,city_wise_revenue!A2,raw_data!G2:G6)</f>
        <v>775</v>
      </c>
      <c r="D2" s="20" t="s">
        <v>26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>
      <c r="A3" s="11" t="s">
        <v>8</v>
      </c>
      <c r="B3" s="12">
        <f>SUMIF(raw_data!C3:C7,city_wise_revenue!A3,raw_data!G3:G7)</f>
        <v>400</v>
      </c>
      <c r="D3" s="20" t="s">
        <v>27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11" t="s">
        <v>10</v>
      </c>
      <c r="B4" s="12">
        <f>SUMIF(raw_data!C4:C8,city_wise_revenue!A4,raw_data!G4:G8)</f>
        <v>15</v>
      </c>
      <c r="D4" s="20" t="s">
        <v>28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>
      <c r="D5" s="20" t="s">
        <v>29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>
      <c r="D6" s="24" t="s">
        <v>30</v>
      </c>
      <c r="E6" s="24"/>
      <c r="F6" s="24"/>
      <c r="G6" s="24"/>
      <c r="H6" s="6"/>
      <c r="I6" s="6"/>
      <c r="J6" s="6"/>
      <c r="K6" s="6"/>
      <c r="L6" s="6"/>
      <c r="M6" s="6"/>
      <c r="N6" s="6"/>
      <c r="O6" s="6"/>
    </row>
    <row r="7" spans="1:15">
      <c r="D7" s="20" t="s">
        <v>31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>
      <c r="D8" s="20" t="s">
        <v>32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>
      <c r="D9" s="20" t="s">
        <v>33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4:15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4:1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4:15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</sheetData>
  <mergeCells count="10">
    <mergeCell ref="D7:O7"/>
    <mergeCell ref="D8:O8"/>
    <mergeCell ref="D9:O9"/>
    <mergeCell ref="D1:G1"/>
    <mergeCell ref="D6:G6"/>
    <mergeCell ref="A1:B1"/>
    <mergeCell ref="D2:O2"/>
    <mergeCell ref="D3:O3"/>
    <mergeCell ref="D4:O4"/>
    <mergeCell ref="D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E652-DC8F-4B69-A3F8-007059A131C8}">
  <dimension ref="A1:O14"/>
  <sheetViews>
    <sheetView workbookViewId="0">
      <selection activeCell="I17" sqref="I17"/>
    </sheetView>
  </sheetViews>
  <sheetFormatPr defaultRowHeight="15"/>
  <cols>
    <col min="1" max="1" width="11.42578125" customWidth="1"/>
    <col min="2" max="2" width="15.5703125" customWidth="1"/>
    <col min="3" max="3" width="11.7109375" customWidth="1"/>
    <col min="4" max="4" width="10.7109375" customWidth="1"/>
  </cols>
  <sheetData>
    <row r="1" spans="1:15">
      <c r="A1" s="25" t="s">
        <v>34</v>
      </c>
      <c r="B1" s="25"/>
      <c r="D1" s="22" t="s">
        <v>24</v>
      </c>
      <c r="E1" s="22"/>
      <c r="F1" s="22"/>
      <c r="G1" s="22"/>
    </row>
    <row r="2" spans="1:15">
      <c r="A2" s="11" t="s">
        <v>7</v>
      </c>
      <c r="B2" s="12">
        <f>SUMIF(raw_data!$D$2:$D$6,product_with_high_revenue!A2,raw_data!$G$2:$G$6)</f>
        <v>175</v>
      </c>
      <c r="D2" s="20" t="s">
        <v>35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17.25" customHeight="1">
      <c r="A3" s="11" t="s">
        <v>9</v>
      </c>
      <c r="B3" s="12">
        <f>SUMIF(raw_data!$D$2:$D$6,product_with_high_revenue!A3,raw_data!$G$2:$G$6)</f>
        <v>1000</v>
      </c>
      <c r="D3" s="20" t="s">
        <v>36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11" t="s">
        <v>11</v>
      </c>
      <c r="B4" s="12">
        <f>SUMIF(raw_data!$D$2:$D$6,product_with_high_revenue!A4,raw_data!$G$2:$G$6)</f>
        <v>15</v>
      </c>
      <c r="D4" s="20" t="s">
        <v>37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>
      <c r="D5" s="20" t="s">
        <v>40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>
      <c r="D6" s="20" t="s">
        <v>41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6.5" customHeight="1">
      <c r="D7" s="23" t="s">
        <v>30</v>
      </c>
      <c r="E7" s="23"/>
      <c r="F7" s="23"/>
      <c r="G7" s="23"/>
      <c r="H7" s="6"/>
      <c r="I7" s="6"/>
      <c r="J7" s="6"/>
      <c r="K7" s="6"/>
      <c r="L7" s="6"/>
      <c r="M7" s="6"/>
      <c r="N7" s="6"/>
      <c r="O7" s="6"/>
    </row>
    <row r="8" spans="1:15">
      <c r="D8" s="20" t="s">
        <v>31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>
      <c r="D9" s="20" t="s">
        <v>32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>
      <c r="D10" s="20" t="s">
        <v>38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2" spans="1:15">
      <c r="D12" s="26" t="s">
        <v>39</v>
      </c>
      <c r="E12" s="26"/>
      <c r="F12" s="26"/>
      <c r="G12" s="26"/>
      <c r="H12" s="26"/>
      <c r="I12" s="26"/>
      <c r="J12" s="26"/>
    </row>
    <row r="14" spans="1:15">
      <c r="D14" s="12" t="str">
        <f>INDEX(A2:A4,MATCH(MAX(B2:B4),B2:B4,0))</f>
        <v>Notebook</v>
      </c>
      <c r="E14" s="12">
        <f>MAX(B2:B4)</f>
        <v>1000</v>
      </c>
    </row>
  </sheetData>
  <mergeCells count="12">
    <mergeCell ref="D8:O8"/>
    <mergeCell ref="D9:O9"/>
    <mergeCell ref="D10:O10"/>
    <mergeCell ref="A1:B1"/>
    <mergeCell ref="D12:J12"/>
    <mergeCell ref="D6:O6"/>
    <mergeCell ref="D1:G1"/>
    <mergeCell ref="D2:O2"/>
    <mergeCell ref="D3:O3"/>
    <mergeCell ref="D4:O4"/>
    <mergeCell ref="D5:O5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city_wise_revenue</vt:lpstr>
      <vt:lpstr>product_with_high_revenue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2025-07-21T09:59:00Z</dcterms:created>
  <dcterms:modified xsi:type="dcterms:W3CDTF">2025-12-30T12:44:20Z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CCE9D3B777C24E48A810A9E7BF126961_12</vt:lpwstr>
  </property>
  <property fmtid="{D5CDD505-2E9C-101B-9397-08002B2CF9AE}" pid="3" name="KSOProductBuildVer">
    <vt:lpwstr>2057-12.2.0.23155</vt:lpwstr>
  </property>
</Properties>
</file>