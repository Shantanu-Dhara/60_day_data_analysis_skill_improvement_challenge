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cuments\60_Day_Data_Analysis_Skill_Improvement_Challenge\day_04\excel\"/>
    </mc:Choice>
  </mc:AlternateContent>
  <xr:revisionPtr revIDLastSave="0" documentId="13_ncr:1_{B09C8050-9A39-43F2-977F-3D38DF42C6CD}" xr6:coauthVersionLast="47" xr6:coauthVersionMax="47" xr10:uidLastSave="{00000000-0000-0000-0000-000000000000}"/>
  <bookViews>
    <workbookView xWindow="-120" yWindow="-120" windowWidth="20730" windowHeight="11040" activeTab="2" xr2:uid="{F6975236-23FB-4C22-B20C-2F783A2B7DC9}"/>
  </bookViews>
  <sheets>
    <sheet name="funtion_part_1" sheetId="1" r:id="rId1"/>
    <sheet name="function_part_2" sheetId="2" r:id="rId2"/>
    <sheet name="function_part_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4" i="3" l="1"/>
  <c r="I14" i="3"/>
  <c r="K13" i="3"/>
  <c r="I13" i="3"/>
  <c r="K12" i="3"/>
  <c r="I12" i="3"/>
  <c r="F12" i="3"/>
  <c r="B12" i="3"/>
  <c r="K11" i="3"/>
  <c r="I11" i="3"/>
  <c r="K10" i="3"/>
  <c r="I10" i="3"/>
  <c r="K9" i="3"/>
  <c r="I9" i="3"/>
  <c r="K8" i="3"/>
  <c r="I8" i="3"/>
  <c r="K7" i="3"/>
  <c r="I7" i="3"/>
  <c r="K6" i="3"/>
  <c r="I6" i="3"/>
  <c r="K5" i="3"/>
  <c r="I5" i="3"/>
  <c r="K4" i="3"/>
  <c r="I4" i="3"/>
  <c r="K3" i="3"/>
  <c r="I3" i="3"/>
  <c r="D17" i="2"/>
  <c r="G14" i="2"/>
  <c r="E14" i="2"/>
  <c r="D14" i="2"/>
  <c r="B14" i="2"/>
  <c r="O9" i="2"/>
  <c r="M9" i="2"/>
  <c r="L9" i="2"/>
  <c r="K9" i="2"/>
  <c r="N9" i="2" s="1"/>
  <c r="O8" i="2"/>
  <c r="M8" i="2"/>
  <c r="L8" i="2"/>
  <c r="K8" i="2"/>
  <c r="N8" i="2" s="1"/>
  <c r="O7" i="2"/>
  <c r="M7" i="2"/>
  <c r="L7" i="2"/>
  <c r="K7" i="2"/>
  <c r="N7" i="2" s="1"/>
  <c r="O6" i="2"/>
  <c r="M6" i="2"/>
  <c r="L6" i="2"/>
  <c r="K6" i="2"/>
  <c r="N6" i="2" s="1"/>
  <c r="O5" i="2"/>
  <c r="M5" i="2"/>
  <c r="L5" i="2"/>
  <c r="K5" i="2"/>
  <c r="N5" i="2" s="1"/>
  <c r="O4" i="2"/>
  <c r="M4" i="2"/>
  <c r="L4" i="2"/>
  <c r="K4" i="2"/>
  <c r="N4" i="2" s="1"/>
  <c r="O3" i="2"/>
  <c r="M3" i="2"/>
  <c r="L3" i="2"/>
  <c r="K3" i="2"/>
  <c r="N3" i="2" s="1"/>
  <c r="O22" i="1"/>
  <c r="Q19" i="1"/>
  <c r="M19" i="1"/>
  <c r="F19" i="1"/>
  <c r="B19" i="1"/>
  <c r="I3" i="1"/>
  <c r="B14" i="3"/>
</calcChain>
</file>

<file path=xl/sharedStrings.xml><?xml version="1.0" encoding="utf-8"?>
<sst xmlns="http://schemas.openxmlformats.org/spreadsheetml/2006/main" count="280" uniqueCount="86">
  <si>
    <t>Sumif Function</t>
  </si>
  <si>
    <t>Sumifs Function</t>
  </si>
  <si>
    <t>Countif Function</t>
  </si>
  <si>
    <t>Counifs Function</t>
  </si>
  <si>
    <t>Averageifs Function</t>
  </si>
  <si>
    <t>Product</t>
  </si>
  <si>
    <t>Quantity</t>
  </si>
  <si>
    <t>Name</t>
  </si>
  <si>
    <t>City</t>
  </si>
  <si>
    <t>Qty</t>
  </si>
  <si>
    <t>Rumi</t>
  </si>
  <si>
    <t>State_Project</t>
  </si>
  <si>
    <t>Current_Project</t>
  </si>
  <si>
    <t>Apple</t>
  </si>
  <si>
    <t>Shantanu</t>
  </si>
  <si>
    <t>West Bengal</t>
  </si>
  <si>
    <t>Mango</t>
  </si>
  <si>
    <t>Kollkaka</t>
  </si>
  <si>
    <t>Banana</t>
  </si>
  <si>
    <t>Bappa</t>
  </si>
  <si>
    <t>Delhi</t>
  </si>
  <si>
    <t>Jackfruit</t>
  </si>
  <si>
    <t>Puja</t>
  </si>
  <si>
    <t>Noida</t>
  </si>
  <si>
    <t>PineApple</t>
  </si>
  <si>
    <t>Suvojit</t>
  </si>
  <si>
    <t>Pune</t>
  </si>
  <si>
    <t>Pomgranate</t>
  </si>
  <si>
    <t>Rakesh</t>
  </si>
  <si>
    <t>Darjiling</t>
  </si>
  <si>
    <t>Rudra</t>
  </si>
  <si>
    <t>Maharastra</t>
  </si>
  <si>
    <t>kashmir</t>
  </si>
  <si>
    <t>Gujrat</t>
  </si>
  <si>
    <t>Rajasthan</t>
  </si>
  <si>
    <t>Himacal Pradesh</t>
  </si>
  <si>
    <t>Tamil Nadu</t>
  </si>
  <si>
    <t>Total Qty</t>
  </si>
  <si>
    <t>Total Project</t>
  </si>
  <si>
    <t>Average</t>
  </si>
  <si>
    <t>Single Condition Averageifs</t>
  </si>
  <si>
    <t>Vlookup Function</t>
  </si>
  <si>
    <t>Hlookup Function</t>
  </si>
  <si>
    <t>Match</t>
  </si>
  <si>
    <t>If  &amp; If Error &amp; AND &amp; OR &amp; NOT Function</t>
  </si>
  <si>
    <t>Marks</t>
  </si>
  <si>
    <t>Status(IF)</t>
  </si>
  <si>
    <t>Present(IFERROR)</t>
  </si>
  <si>
    <t>Grade(AND)</t>
  </si>
  <si>
    <t>OR</t>
  </si>
  <si>
    <t>NOT</t>
  </si>
  <si>
    <t>Suvo</t>
  </si>
  <si>
    <t>MATCH</t>
  </si>
  <si>
    <t>INDEX</t>
  </si>
  <si>
    <t>Return Position</t>
  </si>
  <si>
    <t>Sumproduct</t>
  </si>
  <si>
    <t>Choose</t>
  </si>
  <si>
    <t xml:space="preserve">Left and Right </t>
  </si>
  <si>
    <t>Product Name</t>
  </si>
  <si>
    <t>Sales</t>
  </si>
  <si>
    <t>No.</t>
  </si>
  <si>
    <t>Month</t>
  </si>
  <si>
    <t>Left</t>
  </si>
  <si>
    <t>Mobile</t>
  </si>
  <si>
    <t>january</t>
  </si>
  <si>
    <t>Mixer</t>
  </si>
  <si>
    <t>february</t>
  </si>
  <si>
    <t>Trimer</t>
  </si>
  <si>
    <t>march</t>
  </si>
  <si>
    <t>Head Phone</t>
  </si>
  <si>
    <t>april</t>
  </si>
  <si>
    <t>Fan</t>
  </si>
  <si>
    <t>may</t>
  </si>
  <si>
    <t>Mouse</t>
  </si>
  <si>
    <t>june</t>
  </si>
  <si>
    <t>Desktop</t>
  </si>
  <si>
    <t>july</t>
  </si>
  <si>
    <t>Speaker</t>
  </si>
  <si>
    <t>august</t>
  </si>
  <si>
    <t>september</t>
  </si>
  <si>
    <t>Total Profit</t>
  </si>
  <si>
    <t>october</t>
  </si>
  <si>
    <t>november</t>
  </si>
  <si>
    <t>INDIRECT</t>
  </si>
  <si>
    <t>december</t>
  </si>
  <si>
    <t>Give Text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</si>
</sst>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4" borderId="0" xfId="0" applyFill="1" applyAlignment="1">
      <alignment horizontal="center"/>
    </xf>
    <xf numFmtId="0" fontId="0" fillId="2" borderId="1" xfId="0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6" xfId="0" applyFill="1" applyBorder="1" applyAlignment="1">
      <alignment horizontal="center"/>
    </xf>
    <xf numFmtId="0" fontId="0" fillId="4" borderId="7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EE055-E5AE-4822-8FB4-8F48F3153308}">
  <dimension ref="A1:Q22"/>
  <sheetViews>
    <sheetView workbookViewId="0">
      <selection activeCell="S28" sqref="S28"/>
    </sheetView>
  </sheetViews>
  <sheetFormatPr defaultRowHeight="15" x14ac:dyDescent="0.25"/>
  <cols>
    <col min="1" max="1" width="11.7109375" bestFit="1" customWidth="1"/>
    <col min="2" max="2" width="8.7109375" bestFit="1" customWidth="1"/>
    <col min="3" max="3" width="5.7109375" customWidth="1"/>
    <col min="4" max="4" width="9.28515625" bestFit="1" customWidth="1"/>
    <col min="5" max="5" width="20.42578125" customWidth="1"/>
    <col min="6" max="6" width="9" bestFit="1" customWidth="1"/>
    <col min="7" max="7" width="5" customWidth="1"/>
    <col min="8" max="8" width="9.28515625" bestFit="1" customWidth="1"/>
    <col min="9" max="9" width="11.5703125" bestFit="1" customWidth="1"/>
    <col min="10" max="10" width="3.7109375" customWidth="1"/>
    <col min="11" max="11" width="9.28515625" bestFit="1" customWidth="1"/>
    <col min="12" max="12" width="15.7109375" bestFit="1" customWidth="1"/>
    <col min="13" max="13" width="15.140625" bestFit="1" customWidth="1"/>
    <col min="14" max="14" width="5" customWidth="1"/>
    <col min="16" max="16" width="15.7109375" bestFit="1" customWidth="1"/>
  </cols>
  <sheetData>
    <row r="1" spans="1:17" x14ac:dyDescent="0.25">
      <c r="A1" s="13" t="s">
        <v>0</v>
      </c>
      <c r="B1" s="13"/>
      <c r="D1" s="14" t="s">
        <v>1</v>
      </c>
      <c r="E1" s="14"/>
      <c r="F1" s="14"/>
      <c r="H1" s="14" t="s">
        <v>2</v>
      </c>
      <c r="I1" s="14"/>
      <c r="K1" s="15" t="s">
        <v>3</v>
      </c>
      <c r="L1" s="16"/>
      <c r="M1" s="16"/>
      <c r="O1" s="14" t="s">
        <v>4</v>
      </c>
      <c r="P1" s="14"/>
      <c r="Q1" s="14"/>
    </row>
    <row r="2" spans="1:17" x14ac:dyDescent="0.25">
      <c r="A2" s="2" t="s">
        <v>5</v>
      </c>
      <c r="B2" s="2" t="s">
        <v>6</v>
      </c>
      <c r="D2" s="2" t="s">
        <v>7</v>
      </c>
      <c r="E2" s="2" t="s">
        <v>8</v>
      </c>
      <c r="F2" s="2" t="s">
        <v>9</v>
      </c>
      <c r="H2" s="2" t="s">
        <v>7</v>
      </c>
      <c r="I2" s="2" t="s">
        <v>10</v>
      </c>
      <c r="K2" s="3" t="s">
        <v>7</v>
      </c>
      <c r="L2" s="2" t="s">
        <v>11</v>
      </c>
      <c r="M2" s="2" t="s">
        <v>12</v>
      </c>
      <c r="O2" s="2" t="s">
        <v>7</v>
      </c>
      <c r="P2" s="2" t="s">
        <v>8</v>
      </c>
      <c r="Q2" s="2" t="s">
        <v>9</v>
      </c>
    </row>
    <row r="3" spans="1:17" x14ac:dyDescent="0.25">
      <c r="A3" s="4" t="s">
        <v>13</v>
      </c>
      <c r="B3" s="4">
        <v>25</v>
      </c>
      <c r="D3" s="4" t="s">
        <v>14</v>
      </c>
      <c r="E3" s="4" t="s">
        <v>15</v>
      </c>
      <c r="F3" s="4">
        <v>125</v>
      </c>
      <c r="H3" s="4" t="s">
        <v>14</v>
      </c>
      <c r="I3" s="4">
        <f>COUNTIF(H3:H16,I2)</f>
        <v>4</v>
      </c>
      <c r="K3" s="4" t="s">
        <v>14</v>
      </c>
      <c r="L3" s="4" t="s">
        <v>15</v>
      </c>
      <c r="M3" s="4">
        <v>1</v>
      </c>
      <c r="O3" s="4" t="s">
        <v>14</v>
      </c>
      <c r="P3" s="4" t="s">
        <v>15</v>
      </c>
      <c r="Q3" s="4">
        <v>125</v>
      </c>
    </row>
    <row r="4" spans="1:17" x14ac:dyDescent="0.25">
      <c r="A4" s="4" t="s">
        <v>16</v>
      </c>
      <c r="B4" s="4">
        <v>45</v>
      </c>
      <c r="D4" s="4" t="s">
        <v>10</v>
      </c>
      <c r="E4" s="4" t="s">
        <v>17</v>
      </c>
      <c r="F4" s="4">
        <v>25</v>
      </c>
      <c r="H4" s="5" t="s">
        <v>10</v>
      </c>
      <c r="I4" s="6"/>
      <c r="K4" s="4" t="s">
        <v>10</v>
      </c>
      <c r="L4" s="4" t="s">
        <v>17</v>
      </c>
      <c r="M4" s="4">
        <v>1</v>
      </c>
      <c r="O4" s="4" t="s">
        <v>10</v>
      </c>
      <c r="P4" s="4" t="s">
        <v>17</v>
      </c>
      <c r="Q4" s="4">
        <v>25</v>
      </c>
    </row>
    <row r="5" spans="1:17" x14ac:dyDescent="0.25">
      <c r="A5" s="4" t="s">
        <v>18</v>
      </c>
      <c r="B5" s="4">
        <v>15</v>
      </c>
      <c r="D5" s="4" t="s">
        <v>19</v>
      </c>
      <c r="E5" s="4" t="s">
        <v>20</v>
      </c>
      <c r="F5" s="4">
        <v>86</v>
      </c>
      <c r="H5" s="4" t="s">
        <v>19</v>
      </c>
      <c r="I5" s="7"/>
      <c r="K5" s="4" t="s">
        <v>19</v>
      </c>
      <c r="L5" s="4" t="s">
        <v>20</v>
      </c>
      <c r="M5" s="4">
        <v>1</v>
      </c>
      <c r="O5" s="4" t="s">
        <v>19</v>
      </c>
      <c r="P5" s="4" t="s">
        <v>20</v>
      </c>
      <c r="Q5" s="4">
        <v>86</v>
      </c>
    </row>
    <row r="6" spans="1:17" x14ac:dyDescent="0.25">
      <c r="A6" s="4" t="s">
        <v>21</v>
      </c>
      <c r="B6" s="4">
        <v>45</v>
      </c>
      <c r="D6" s="4" t="s">
        <v>22</v>
      </c>
      <c r="E6" s="4" t="s">
        <v>23</v>
      </c>
      <c r="F6" s="4">
        <v>45</v>
      </c>
      <c r="H6" s="4" t="s">
        <v>22</v>
      </c>
      <c r="I6" s="7"/>
      <c r="K6" s="4" t="s">
        <v>22</v>
      </c>
      <c r="L6" s="4" t="s">
        <v>23</v>
      </c>
      <c r="M6" s="4">
        <v>1</v>
      </c>
      <c r="O6" s="4" t="s">
        <v>22</v>
      </c>
      <c r="P6" s="4" t="s">
        <v>23</v>
      </c>
      <c r="Q6" s="4">
        <v>45</v>
      </c>
    </row>
    <row r="7" spans="1:17" x14ac:dyDescent="0.25">
      <c r="A7" s="4" t="s">
        <v>24</v>
      </c>
      <c r="B7" s="4">
        <v>87</v>
      </c>
      <c r="D7" s="4" t="s">
        <v>25</v>
      </c>
      <c r="E7" s="4" t="s">
        <v>26</v>
      </c>
      <c r="F7" s="4">
        <v>103</v>
      </c>
      <c r="H7" s="4" t="s">
        <v>25</v>
      </c>
      <c r="I7" s="7"/>
      <c r="K7" s="4" t="s">
        <v>25</v>
      </c>
      <c r="L7" s="4" t="s">
        <v>26</v>
      </c>
      <c r="M7" s="4">
        <v>1</v>
      </c>
      <c r="O7" s="4" t="s">
        <v>25</v>
      </c>
      <c r="P7" s="4" t="s">
        <v>26</v>
      </c>
      <c r="Q7" s="4">
        <v>103</v>
      </c>
    </row>
    <row r="8" spans="1:17" x14ac:dyDescent="0.25">
      <c r="A8" s="4" t="s">
        <v>27</v>
      </c>
      <c r="B8" s="4">
        <v>62</v>
      </c>
      <c r="D8" s="4" t="s">
        <v>28</v>
      </c>
      <c r="E8" s="4" t="s">
        <v>29</v>
      </c>
      <c r="F8" s="4">
        <v>15</v>
      </c>
      <c r="H8" s="4" t="s">
        <v>10</v>
      </c>
      <c r="I8" s="7"/>
      <c r="K8" s="4" t="s">
        <v>28</v>
      </c>
      <c r="L8" s="4" t="s">
        <v>29</v>
      </c>
      <c r="M8" s="4">
        <v>1</v>
      </c>
      <c r="O8" s="4" t="s">
        <v>28</v>
      </c>
      <c r="P8" s="4" t="s">
        <v>29</v>
      </c>
      <c r="Q8" s="4">
        <v>15</v>
      </c>
    </row>
    <row r="9" spans="1:17" x14ac:dyDescent="0.25">
      <c r="A9" s="4" t="s">
        <v>13</v>
      </c>
      <c r="B9" s="4">
        <v>23</v>
      </c>
      <c r="D9" s="4" t="s">
        <v>30</v>
      </c>
      <c r="E9" s="4" t="s">
        <v>31</v>
      </c>
      <c r="F9" s="4">
        <v>68</v>
      </c>
      <c r="H9" s="4" t="s">
        <v>30</v>
      </c>
      <c r="I9" s="7"/>
      <c r="K9" s="4" t="s">
        <v>30</v>
      </c>
      <c r="L9" s="4" t="s">
        <v>31</v>
      </c>
      <c r="M9" s="4">
        <v>1</v>
      </c>
      <c r="O9" s="4" t="s">
        <v>30</v>
      </c>
      <c r="P9" s="4" t="s">
        <v>31</v>
      </c>
      <c r="Q9" s="4">
        <v>68</v>
      </c>
    </row>
    <row r="10" spans="1:17" x14ac:dyDescent="0.25">
      <c r="A10" s="4" t="s">
        <v>13</v>
      </c>
      <c r="B10" s="4">
        <v>12</v>
      </c>
      <c r="D10" s="4" t="s">
        <v>10</v>
      </c>
      <c r="E10" s="4" t="s">
        <v>17</v>
      </c>
      <c r="F10" s="4">
        <v>99</v>
      </c>
      <c r="H10" s="4" t="s">
        <v>10</v>
      </c>
      <c r="I10" s="7"/>
      <c r="K10" s="4" t="s">
        <v>10</v>
      </c>
      <c r="L10" s="4" t="s">
        <v>17</v>
      </c>
      <c r="M10" s="4">
        <v>1</v>
      </c>
      <c r="O10" s="4" t="s">
        <v>10</v>
      </c>
      <c r="P10" s="4" t="s">
        <v>17</v>
      </c>
      <c r="Q10" s="4">
        <v>99</v>
      </c>
    </row>
    <row r="11" spans="1:17" x14ac:dyDescent="0.25">
      <c r="A11" s="4" t="s">
        <v>21</v>
      </c>
      <c r="B11" s="4">
        <v>45</v>
      </c>
      <c r="D11" s="4" t="s">
        <v>14</v>
      </c>
      <c r="E11" s="4" t="s">
        <v>32</v>
      </c>
      <c r="F11" s="4">
        <v>83</v>
      </c>
      <c r="H11" s="4" t="s">
        <v>14</v>
      </c>
      <c r="I11" s="7"/>
      <c r="K11" s="4" t="s">
        <v>14</v>
      </c>
      <c r="L11" s="4" t="s">
        <v>32</v>
      </c>
      <c r="M11" s="4">
        <v>1</v>
      </c>
      <c r="O11" s="4" t="s">
        <v>14</v>
      </c>
      <c r="P11" s="4" t="s">
        <v>32</v>
      </c>
      <c r="Q11" s="4">
        <v>83</v>
      </c>
    </row>
    <row r="12" spans="1:17" x14ac:dyDescent="0.25">
      <c r="A12" s="4" t="s">
        <v>16</v>
      </c>
      <c r="B12" s="4">
        <v>25</v>
      </c>
      <c r="D12" s="4" t="s">
        <v>10</v>
      </c>
      <c r="E12" s="4" t="s">
        <v>33</v>
      </c>
      <c r="F12" s="4">
        <v>28</v>
      </c>
      <c r="H12" s="4" t="s">
        <v>10</v>
      </c>
      <c r="I12" s="7"/>
      <c r="K12" s="4" t="s">
        <v>10</v>
      </c>
      <c r="L12" s="4" t="s">
        <v>33</v>
      </c>
      <c r="M12" s="4">
        <v>1</v>
      </c>
      <c r="O12" s="4" t="s">
        <v>10</v>
      </c>
      <c r="P12" s="4" t="s">
        <v>33</v>
      </c>
      <c r="Q12" s="4">
        <v>28</v>
      </c>
    </row>
    <row r="13" spans="1:17" x14ac:dyDescent="0.25">
      <c r="A13" s="4" t="s">
        <v>24</v>
      </c>
      <c r="B13" s="4">
        <v>45</v>
      </c>
      <c r="D13" s="4" t="s">
        <v>19</v>
      </c>
      <c r="E13" s="4" t="s">
        <v>34</v>
      </c>
      <c r="F13" s="4">
        <v>78</v>
      </c>
      <c r="H13" s="4" t="s">
        <v>19</v>
      </c>
      <c r="I13" s="7"/>
      <c r="K13" s="4" t="s">
        <v>19</v>
      </c>
      <c r="L13" s="4" t="s">
        <v>34</v>
      </c>
      <c r="M13" s="4">
        <v>1</v>
      </c>
      <c r="O13" s="4" t="s">
        <v>19</v>
      </c>
      <c r="P13" s="4" t="s">
        <v>34</v>
      </c>
      <c r="Q13" s="4">
        <v>78</v>
      </c>
    </row>
    <row r="14" spans="1:17" x14ac:dyDescent="0.25">
      <c r="A14" s="4" t="s">
        <v>13</v>
      </c>
      <c r="B14" s="4">
        <v>65</v>
      </c>
      <c r="D14" s="4" t="s">
        <v>14</v>
      </c>
      <c r="E14" s="4" t="s">
        <v>15</v>
      </c>
      <c r="F14" s="4">
        <v>125</v>
      </c>
      <c r="H14" s="4" t="s">
        <v>14</v>
      </c>
      <c r="I14" s="7"/>
      <c r="K14" s="4" t="s">
        <v>14</v>
      </c>
      <c r="L14" s="4" t="s">
        <v>15</v>
      </c>
      <c r="M14" s="4">
        <v>1</v>
      </c>
      <c r="O14" s="4" t="s">
        <v>14</v>
      </c>
      <c r="P14" s="4" t="s">
        <v>15</v>
      </c>
      <c r="Q14" s="4">
        <v>125</v>
      </c>
    </row>
    <row r="15" spans="1:17" x14ac:dyDescent="0.25">
      <c r="A15" s="4" t="s">
        <v>27</v>
      </c>
      <c r="B15" s="4">
        <v>88</v>
      </c>
      <c r="D15" s="4" t="s">
        <v>25</v>
      </c>
      <c r="E15" s="4" t="s">
        <v>35</v>
      </c>
      <c r="F15" s="4">
        <v>73</v>
      </c>
      <c r="H15" s="4" t="s">
        <v>25</v>
      </c>
      <c r="I15" s="7"/>
      <c r="K15" s="4" t="s">
        <v>25</v>
      </c>
      <c r="L15" s="4" t="s">
        <v>35</v>
      </c>
      <c r="M15" s="4">
        <v>1</v>
      </c>
      <c r="O15" s="4" t="s">
        <v>25</v>
      </c>
      <c r="P15" s="4" t="s">
        <v>35</v>
      </c>
      <c r="Q15" s="4">
        <v>73</v>
      </c>
    </row>
    <row r="16" spans="1:17" x14ac:dyDescent="0.25">
      <c r="A16" s="4" t="s">
        <v>16</v>
      </c>
      <c r="B16" s="4">
        <v>32</v>
      </c>
      <c r="D16" s="4" t="s">
        <v>28</v>
      </c>
      <c r="E16" s="4" t="s">
        <v>36</v>
      </c>
      <c r="F16" s="4">
        <v>91</v>
      </c>
      <c r="H16" s="4" t="s">
        <v>28</v>
      </c>
      <c r="I16" s="7"/>
      <c r="K16" s="4" t="s">
        <v>28</v>
      </c>
      <c r="L16" s="4" t="s">
        <v>36</v>
      </c>
      <c r="M16" s="4">
        <v>1</v>
      </c>
      <c r="O16" s="4" t="s">
        <v>28</v>
      </c>
      <c r="P16" s="4" t="s">
        <v>36</v>
      </c>
      <c r="Q16" s="4">
        <v>91</v>
      </c>
    </row>
    <row r="17" spans="1:17" x14ac:dyDescent="0.25">
      <c r="A17" s="7"/>
      <c r="B17" s="7"/>
      <c r="D17" s="7"/>
      <c r="E17" s="7"/>
      <c r="F17" s="7"/>
      <c r="O17" s="7"/>
      <c r="P17" s="7"/>
      <c r="Q17" s="7"/>
    </row>
    <row r="18" spans="1:17" x14ac:dyDescent="0.25">
      <c r="A18" s="1" t="s">
        <v>5</v>
      </c>
      <c r="B18" s="1" t="s">
        <v>9</v>
      </c>
      <c r="D18" s="1" t="s">
        <v>7</v>
      </c>
      <c r="E18" s="1" t="s">
        <v>8</v>
      </c>
      <c r="F18" s="1" t="s">
        <v>37</v>
      </c>
      <c r="K18" s="1" t="s">
        <v>7</v>
      </c>
      <c r="L18" s="1" t="s">
        <v>8</v>
      </c>
      <c r="M18" s="1" t="s">
        <v>38</v>
      </c>
      <c r="O18" s="1" t="s">
        <v>7</v>
      </c>
      <c r="P18" s="1" t="s">
        <v>8</v>
      </c>
      <c r="Q18" s="1" t="s">
        <v>39</v>
      </c>
    </row>
    <row r="19" spans="1:17" x14ac:dyDescent="0.25">
      <c r="A19" s="2" t="s">
        <v>21</v>
      </c>
      <c r="B19" s="4">
        <f>SUMIF(A3:A16,A19,B3:B16)</f>
        <v>90</v>
      </c>
      <c r="D19" s="2" t="s">
        <v>10</v>
      </c>
      <c r="E19" s="2" t="s">
        <v>33</v>
      </c>
      <c r="F19" s="4">
        <f>SUMIFS(F3:F16,D3:D16,D19,E3:E16,E19)</f>
        <v>28</v>
      </c>
      <c r="K19" s="2" t="s">
        <v>10</v>
      </c>
      <c r="L19" s="2" t="s">
        <v>17</v>
      </c>
      <c r="M19" s="4">
        <f>COUNTIFS(L3:L16,L19,K3:K16,K19)</f>
        <v>2</v>
      </c>
      <c r="O19" s="2" t="s">
        <v>14</v>
      </c>
      <c r="P19" s="2" t="s">
        <v>15</v>
      </c>
      <c r="Q19" s="4">
        <f>AVERAGEIFS(Q3:Q16,O3:O16,O19,P3:P16,P19)</f>
        <v>125</v>
      </c>
    </row>
    <row r="21" spans="1:17" x14ac:dyDescent="0.25">
      <c r="O21" s="17" t="s">
        <v>40</v>
      </c>
      <c r="P21" s="17"/>
      <c r="Q21" s="17"/>
    </row>
    <row r="22" spans="1:17" x14ac:dyDescent="0.25">
      <c r="O22" s="12">
        <f>AVERAGEIFS(Q3:Q16,Q3:Q16, "&gt;70")</f>
        <v>95.888888888888886</v>
      </c>
      <c r="P22" s="12"/>
      <c r="Q22" s="12"/>
    </row>
  </sheetData>
  <mergeCells count="7">
    <mergeCell ref="O22:Q22"/>
    <mergeCell ref="A1:B1"/>
    <mergeCell ref="D1:F1"/>
    <mergeCell ref="H1:I1"/>
    <mergeCell ref="K1:M1"/>
    <mergeCell ref="O1:Q1"/>
    <mergeCell ref="O21:Q21"/>
  </mergeCells>
  <dataValidations count="6">
    <dataValidation type="list" allowBlank="1" showInputMessage="1" showErrorMessage="1" sqref="A19" xr:uid="{41CC71E0-4872-4D30-8ADE-D57334EE1D10}">
      <formula1>$A$3:$A$16</formula1>
    </dataValidation>
    <dataValidation type="list" allowBlank="1" showInputMessage="1" showErrorMessage="1" sqref="D19 O19" xr:uid="{EA5C1563-20D6-41A5-917E-74F53A37AA42}">
      <formula1>$D$3:$D$16</formula1>
    </dataValidation>
    <dataValidation type="list" allowBlank="1" showInputMessage="1" showErrorMessage="1" sqref="E19 P19" xr:uid="{AB946CD8-BA76-4CE4-8F1A-04D809DA43A3}">
      <formula1>$E$3:$E$16</formula1>
    </dataValidation>
    <dataValidation type="list" allowBlank="1" showInputMessage="1" showErrorMessage="1" sqref="I2" xr:uid="{95AE0B29-0E4D-48BE-A147-8EA3CEE5EEE2}">
      <formula1>$H$3:$H$16</formula1>
    </dataValidation>
    <dataValidation type="list" allowBlank="1" showInputMessage="1" showErrorMessage="1" sqref="K19" xr:uid="{BEE77334-0B62-4D06-9864-E11B08A08451}">
      <formula1>$K$3:$K$16</formula1>
    </dataValidation>
    <dataValidation type="list" allowBlank="1" showInputMessage="1" showErrorMessage="1" sqref="L19" xr:uid="{45A52FB4-D853-4FF2-AEC4-AC33B598AAF8}">
      <formula1>$L$3:$L$16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A318-5278-49AC-B801-2551D77A143E}">
  <dimension ref="A1:O17"/>
  <sheetViews>
    <sheetView workbookViewId="0">
      <selection activeCell="K20" sqref="K20"/>
    </sheetView>
  </sheetViews>
  <sheetFormatPr defaultRowHeight="15" x14ac:dyDescent="0.25"/>
  <cols>
    <col min="1" max="1" width="9.28515625" bestFit="1" customWidth="1"/>
    <col min="2" max="2" width="15.7109375" bestFit="1" customWidth="1"/>
    <col min="3" max="3" width="4.5703125" customWidth="1"/>
    <col min="4" max="4" width="9.28515625" bestFit="1" customWidth="1"/>
    <col min="5" max="5" width="15.7109375" bestFit="1" customWidth="1"/>
    <col min="6" max="6" width="5.85546875" customWidth="1"/>
    <col min="7" max="8" width="9.28515625" bestFit="1" customWidth="1"/>
    <col min="9" max="9" width="3.42578125" customWidth="1"/>
    <col min="10" max="10" width="6.28515625" bestFit="1" customWidth="1"/>
    <col min="11" max="11" width="9.42578125" bestFit="1" customWidth="1"/>
    <col min="12" max="12" width="16.85546875" bestFit="1" customWidth="1"/>
    <col min="13" max="13" width="11.7109375" bestFit="1" customWidth="1"/>
    <col min="14" max="14" width="3.5703125" bestFit="1" customWidth="1"/>
    <col min="15" max="15" width="4.85546875" bestFit="1" customWidth="1"/>
  </cols>
  <sheetData>
    <row r="1" spans="1:15" x14ac:dyDescent="0.25">
      <c r="A1" s="13" t="s">
        <v>41</v>
      </c>
      <c r="B1" s="13"/>
      <c r="D1" s="13" t="s">
        <v>42</v>
      </c>
      <c r="E1" s="13"/>
      <c r="G1" s="14" t="s">
        <v>43</v>
      </c>
      <c r="H1" s="14"/>
      <c r="J1" s="18" t="s">
        <v>44</v>
      </c>
      <c r="K1" s="13"/>
      <c r="L1" s="13"/>
      <c r="M1" s="13"/>
      <c r="N1" s="13"/>
      <c r="O1" s="13"/>
    </row>
    <row r="2" spans="1:15" x14ac:dyDescent="0.25">
      <c r="A2" s="2" t="s">
        <v>7</v>
      </c>
      <c r="B2" s="2" t="s">
        <v>8</v>
      </c>
      <c r="D2" s="2" t="s">
        <v>7</v>
      </c>
      <c r="E2" s="2" t="s">
        <v>8</v>
      </c>
      <c r="G2" s="2" t="s">
        <v>7</v>
      </c>
      <c r="H2" s="2" t="s">
        <v>7</v>
      </c>
      <c r="J2" s="2" t="s">
        <v>45</v>
      </c>
      <c r="K2" s="2" t="s">
        <v>46</v>
      </c>
      <c r="L2" s="2" t="s">
        <v>47</v>
      </c>
      <c r="M2" s="2" t="s">
        <v>48</v>
      </c>
      <c r="N2" s="2" t="s">
        <v>49</v>
      </c>
      <c r="O2" s="2" t="s">
        <v>50</v>
      </c>
    </row>
    <row r="3" spans="1:15" x14ac:dyDescent="0.25">
      <c r="A3" s="4" t="s">
        <v>14</v>
      </c>
      <c r="B3" s="4" t="s">
        <v>15</v>
      </c>
      <c r="D3" s="4" t="s">
        <v>14</v>
      </c>
      <c r="E3" s="4" t="s">
        <v>15</v>
      </c>
      <c r="G3" s="4" t="s">
        <v>14</v>
      </c>
      <c r="H3" s="4" t="s">
        <v>14</v>
      </c>
      <c r="J3" s="4">
        <v>85</v>
      </c>
      <c r="K3" s="4" t="str">
        <f>IF(J3&gt;50,"Pass","Fail")</f>
        <v>Pass</v>
      </c>
      <c r="L3" s="4">
        <f>IFERROR(J3, )</f>
        <v>85</v>
      </c>
      <c r="M3" s="8" t="str">
        <f>IF(AND(J3&gt;=60, J3&lt;=100),"A","B")</f>
        <v>A</v>
      </c>
      <c r="N3" s="8" t="str">
        <f t="shared" ref="N3:N9" si="0">IF(OR(K3&gt;=60, K3&lt;=100),"A","B")</f>
        <v>A</v>
      </c>
      <c r="O3" s="8" t="str">
        <f>IF(NOT(J3 &lt; 60),"A","B")</f>
        <v>A</v>
      </c>
    </row>
    <row r="4" spans="1:15" x14ac:dyDescent="0.25">
      <c r="A4" s="4" t="s">
        <v>10</v>
      </c>
      <c r="B4" s="4" t="s">
        <v>17</v>
      </c>
      <c r="D4" s="4" t="s">
        <v>10</v>
      </c>
      <c r="E4" s="4" t="s">
        <v>17</v>
      </c>
      <c r="G4" s="4" t="s">
        <v>10</v>
      </c>
      <c r="H4" s="4" t="s">
        <v>10</v>
      </c>
      <c r="J4" s="4"/>
      <c r="K4" s="4" t="str">
        <f t="shared" ref="K4:K9" si="1">IF(J4&gt;50,"Pass","Fail")</f>
        <v>Fail</v>
      </c>
      <c r="L4" s="4">
        <f t="shared" ref="L4:L9" si="2">IFERROR(J4, )</f>
        <v>0</v>
      </c>
      <c r="M4" s="8" t="str">
        <f t="shared" ref="M4:M9" si="3">IF(AND(J4&gt;=60, J4&lt;=100),"A","B")</f>
        <v>B</v>
      </c>
      <c r="N4" s="8" t="str">
        <f t="shared" si="0"/>
        <v>A</v>
      </c>
      <c r="O4" s="8" t="str">
        <f t="shared" ref="O4:O9" si="4">IF(NOT(J4 &lt; 60),"A","B")</f>
        <v>B</v>
      </c>
    </row>
    <row r="5" spans="1:15" x14ac:dyDescent="0.25">
      <c r="A5" s="4" t="s">
        <v>22</v>
      </c>
      <c r="B5" s="4" t="s">
        <v>23</v>
      </c>
      <c r="D5" s="4" t="s">
        <v>22</v>
      </c>
      <c r="E5" s="4" t="s">
        <v>23</v>
      </c>
      <c r="G5" s="4" t="s">
        <v>22</v>
      </c>
      <c r="H5" s="4" t="s">
        <v>22</v>
      </c>
      <c r="J5" s="4">
        <v>86</v>
      </c>
      <c r="K5" s="4" t="str">
        <f t="shared" si="1"/>
        <v>Pass</v>
      </c>
      <c r="L5" s="4">
        <f t="shared" si="2"/>
        <v>86</v>
      </c>
      <c r="M5" s="8" t="str">
        <f t="shared" si="3"/>
        <v>A</v>
      </c>
      <c r="N5" s="8" t="str">
        <f t="shared" si="0"/>
        <v>A</v>
      </c>
      <c r="O5" s="8" t="str">
        <f t="shared" si="4"/>
        <v>A</v>
      </c>
    </row>
    <row r="6" spans="1:15" x14ac:dyDescent="0.25">
      <c r="A6" s="4" t="s">
        <v>51</v>
      </c>
      <c r="B6" s="4" t="s">
        <v>26</v>
      </c>
      <c r="D6" s="4" t="s">
        <v>51</v>
      </c>
      <c r="E6" s="4" t="s">
        <v>26</v>
      </c>
      <c r="G6" s="4" t="s">
        <v>51</v>
      </c>
      <c r="H6" s="4" t="s">
        <v>51</v>
      </c>
      <c r="J6" s="4">
        <v>45</v>
      </c>
      <c r="K6" s="4" t="str">
        <f t="shared" si="1"/>
        <v>Fail</v>
      </c>
      <c r="L6" s="4">
        <f t="shared" si="2"/>
        <v>45</v>
      </c>
      <c r="M6" s="8" t="str">
        <f t="shared" si="3"/>
        <v>B</v>
      </c>
      <c r="N6" s="8" t="str">
        <f t="shared" si="0"/>
        <v>A</v>
      </c>
      <c r="O6" s="8" t="str">
        <f t="shared" si="4"/>
        <v>B</v>
      </c>
    </row>
    <row r="7" spans="1:15" x14ac:dyDescent="0.25">
      <c r="A7" s="4" t="s">
        <v>28</v>
      </c>
      <c r="B7" s="4" t="s">
        <v>29</v>
      </c>
      <c r="D7" s="4" t="s">
        <v>28</v>
      </c>
      <c r="E7" s="4" t="s">
        <v>29</v>
      </c>
      <c r="G7" s="4" t="s">
        <v>28</v>
      </c>
      <c r="H7" s="4" t="s">
        <v>28</v>
      </c>
      <c r="J7" s="4">
        <v>69</v>
      </c>
      <c r="K7" s="4" t="str">
        <f t="shared" si="1"/>
        <v>Pass</v>
      </c>
      <c r="L7" s="4">
        <f t="shared" si="2"/>
        <v>69</v>
      </c>
      <c r="M7" s="8" t="str">
        <f t="shared" si="3"/>
        <v>A</v>
      </c>
      <c r="N7" s="8" t="str">
        <f t="shared" si="0"/>
        <v>A</v>
      </c>
      <c r="O7" s="8" t="str">
        <f t="shared" si="4"/>
        <v>A</v>
      </c>
    </row>
    <row r="8" spans="1:15" x14ac:dyDescent="0.25">
      <c r="A8" s="4" t="s">
        <v>30</v>
      </c>
      <c r="B8" s="4" t="s">
        <v>31</v>
      </c>
      <c r="D8" s="4" t="s">
        <v>30</v>
      </c>
      <c r="E8" s="4" t="s">
        <v>31</v>
      </c>
      <c r="G8" s="4" t="s">
        <v>30</v>
      </c>
      <c r="H8" s="4" t="s">
        <v>30</v>
      </c>
      <c r="J8" s="4">
        <v>15</v>
      </c>
      <c r="K8" s="4" t="str">
        <f t="shared" si="1"/>
        <v>Fail</v>
      </c>
      <c r="L8" s="4">
        <f t="shared" si="2"/>
        <v>15</v>
      </c>
      <c r="M8" s="8" t="str">
        <f t="shared" si="3"/>
        <v>B</v>
      </c>
      <c r="N8" s="8" t="str">
        <f t="shared" si="0"/>
        <v>A</v>
      </c>
      <c r="O8" s="8" t="str">
        <f t="shared" si="4"/>
        <v>B</v>
      </c>
    </row>
    <row r="9" spans="1:15" x14ac:dyDescent="0.25">
      <c r="A9" s="4" t="s">
        <v>10</v>
      </c>
      <c r="B9" s="4" t="s">
        <v>33</v>
      </c>
      <c r="D9" s="4" t="s">
        <v>10</v>
      </c>
      <c r="E9" s="4" t="s">
        <v>33</v>
      </c>
      <c r="G9" s="4" t="s">
        <v>10</v>
      </c>
      <c r="H9" s="4" t="s">
        <v>10</v>
      </c>
      <c r="J9" s="4">
        <v>68</v>
      </c>
      <c r="K9" s="4" t="str">
        <f t="shared" si="1"/>
        <v>Pass</v>
      </c>
      <c r="L9" s="4">
        <f t="shared" si="2"/>
        <v>68</v>
      </c>
      <c r="M9" s="8" t="str">
        <f t="shared" si="3"/>
        <v>A</v>
      </c>
      <c r="N9" s="8" t="str">
        <f t="shared" si="0"/>
        <v>A</v>
      </c>
      <c r="O9" s="8" t="str">
        <f t="shared" si="4"/>
        <v>A</v>
      </c>
    </row>
    <row r="10" spans="1:15" x14ac:dyDescent="0.25">
      <c r="A10" s="4" t="s">
        <v>19</v>
      </c>
      <c r="B10" s="4" t="s">
        <v>34</v>
      </c>
      <c r="D10" s="4" t="s">
        <v>19</v>
      </c>
      <c r="E10" s="4" t="s">
        <v>34</v>
      </c>
      <c r="G10" s="4" t="s">
        <v>19</v>
      </c>
      <c r="H10" s="4" t="s">
        <v>19</v>
      </c>
      <c r="J10" s="7"/>
    </row>
    <row r="11" spans="1:15" x14ac:dyDescent="0.25">
      <c r="A11" s="4" t="s">
        <v>25</v>
      </c>
      <c r="B11" s="4" t="s">
        <v>35</v>
      </c>
      <c r="D11" s="4" t="s">
        <v>25</v>
      </c>
      <c r="E11" s="4" t="s">
        <v>35</v>
      </c>
      <c r="G11" s="4" t="s">
        <v>25</v>
      </c>
      <c r="H11" s="4" t="s">
        <v>25</v>
      </c>
      <c r="J11" s="9"/>
      <c r="K11" s="9"/>
      <c r="L11" s="9"/>
    </row>
    <row r="12" spans="1:15" x14ac:dyDescent="0.25">
      <c r="A12" s="7"/>
      <c r="B12" s="7"/>
      <c r="D12" s="7"/>
      <c r="E12" s="7"/>
      <c r="J12" s="7"/>
    </row>
    <row r="13" spans="1:15" x14ac:dyDescent="0.25">
      <c r="A13" s="1" t="s">
        <v>7</v>
      </c>
      <c r="B13" s="1" t="s">
        <v>8</v>
      </c>
      <c r="D13" s="1" t="s">
        <v>7</v>
      </c>
      <c r="E13" s="1" t="s">
        <v>8</v>
      </c>
      <c r="G13" s="14" t="s">
        <v>52</v>
      </c>
      <c r="H13" s="14"/>
      <c r="J13" s="10"/>
    </row>
    <row r="14" spans="1:15" x14ac:dyDescent="0.25">
      <c r="A14" s="2" t="s">
        <v>30</v>
      </c>
      <c r="B14" s="4" t="str">
        <f>VLOOKUP(A14,A3:B11,2,0)</f>
        <v>Maharastra</v>
      </c>
      <c r="D14" s="2" t="str">
        <f>HLOOKUP(D3,D3:E11,1,0)</f>
        <v>Shantanu</v>
      </c>
      <c r="E14" s="2" t="str">
        <f>HLOOKUP(E3,E3:F11,1,0)</f>
        <v>West Bengal</v>
      </c>
      <c r="G14" s="19">
        <f>MATCH(G3,G3:G11,0)</f>
        <v>1</v>
      </c>
      <c r="H14" s="20"/>
    </row>
    <row r="15" spans="1:15" x14ac:dyDescent="0.25">
      <c r="J15" s="7"/>
    </row>
    <row r="16" spans="1:15" x14ac:dyDescent="0.25">
      <c r="D16" s="14" t="s">
        <v>53</v>
      </c>
      <c r="E16" s="14"/>
      <c r="G16" s="12" t="s">
        <v>54</v>
      </c>
      <c r="H16" s="12"/>
      <c r="J16" s="7"/>
    </row>
    <row r="17" spans="4:10" x14ac:dyDescent="0.25">
      <c r="D17" s="12" t="str">
        <f>INDEX(D3:E11,2,2)</f>
        <v>Kollkaka</v>
      </c>
      <c r="E17" s="12"/>
      <c r="J17" s="7"/>
    </row>
  </sheetData>
  <mergeCells count="9">
    <mergeCell ref="D17:E17"/>
    <mergeCell ref="A1:B1"/>
    <mergeCell ref="D1:E1"/>
    <mergeCell ref="G1:H1"/>
    <mergeCell ref="J1:O1"/>
    <mergeCell ref="G13:H13"/>
    <mergeCell ref="G14:H14"/>
    <mergeCell ref="D16:E16"/>
    <mergeCell ref="G16:H16"/>
  </mergeCells>
  <dataValidations count="1">
    <dataValidation type="list" allowBlank="1" showInputMessage="1" showErrorMessage="1" sqref="A14" xr:uid="{4B39DA67-D830-47A3-A813-CD00DD1866A5}">
      <formula1>$A$3:$A$11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F9A75-32F4-406A-91DE-B42C32CA284E}">
  <dimension ref="A1:K16"/>
  <sheetViews>
    <sheetView tabSelected="1" workbookViewId="0">
      <selection activeCell="M14" sqref="M14"/>
    </sheetView>
  </sheetViews>
  <sheetFormatPr defaultRowHeight="15" x14ac:dyDescent="0.25"/>
  <cols>
    <col min="1" max="1" width="13.7109375" style="7" bestFit="1" customWidth="1"/>
    <col min="2" max="2" width="7.28515625" style="7" bestFit="1" customWidth="1"/>
    <col min="3" max="3" width="5.5703125" style="7" bestFit="1" customWidth="1"/>
    <col min="4" max="4" width="9.140625" style="7"/>
    <col min="5" max="5" width="4.140625" style="7" bestFit="1" customWidth="1"/>
    <col min="6" max="6" width="11.7109375" style="7" bestFit="1" customWidth="1"/>
    <col min="7" max="7" width="9.140625" style="7"/>
    <col min="8" max="8" width="10.7109375" style="7" bestFit="1" customWidth="1"/>
    <col min="9" max="9" width="4.7109375" style="7" bestFit="1" customWidth="1"/>
    <col min="10" max="10" width="10.7109375" style="7" bestFit="1" customWidth="1"/>
    <col min="11" max="11" width="4.7109375" style="7" bestFit="1" customWidth="1"/>
    <col min="12" max="16384" width="9.140625" style="7"/>
  </cols>
  <sheetData>
    <row r="1" spans="1:11" x14ac:dyDescent="0.25">
      <c r="A1" s="22" t="s">
        <v>55</v>
      </c>
      <c r="B1" s="22"/>
      <c r="C1" s="22"/>
      <c r="E1" s="22" t="s">
        <v>56</v>
      </c>
      <c r="F1" s="22"/>
      <c r="H1" s="23" t="s">
        <v>57</v>
      </c>
      <c r="I1" s="23"/>
      <c r="J1" s="23"/>
      <c r="K1" s="23"/>
    </row>
    <row r="2" spans="1:11" x14ac:dyDescent="0.25">
      <c r="A2" s="11" t="s">
        <v>58</v>
      </c>
      <c r="B2" s="11" t="s">
        <v>9</v>
      </c>
      <c r="C2" s="11" t="s">
        <v>59</v>
      </c>
      <c r="E2" s="11" t="s">
        <v>60</v>
      </c>
      <c r="F2" s="11" t="s">
        <v>5</v>
      </c>
      <c r="H2" s="11" t="s">
        <v>61</v>
      </c>
      <c r="I2" s="11" t="s">
        <v>62</v>
      </c>
      <c r="J2" s="11"/>
      <c r="K2" s="11"/>
    </row>
    <row r="3" spans="1:11" x14ac:dyDescent="0.25">
      <c r="A3" s="4" t="s">
        <v>63</v>
      </c>
      <c r="B3" s="4">
        <v>2</v>
      </c>
      <c r="C3" s="4">
        <v>5000</v>
      </c>
      <c r="E3" s="4">
        <v>1</v>
      </c>
      <c r="F3" s="4" t="s">
        <v>63</v>
      </c>
      <c r="H3" s="4" t="s">
        <v>64</v>
      </c>
      <c r="I3" s="4" t="str">
        <f>LEFT(H3,3)</f>
        <v>jan</v>
      </c>
      <c r="J3" s="4" t="s">
        <v>64</v>
      </c>
      <c r="K3" s="4" t="str">
        <f>RIGHT(J3,3)</f>
        <v>ary</v>
      </c>
    </row>
    <row r="4" spans="1:11" x14ac:dyDescent="0.25">
      <c r="A4" s="4" t="s">
        <v>65</v>
      </c>
      <c r="B4" s="4">
        <v>2</v>
      </c>
      <c r="C4" s="4">
        <v>4000</v>
      </c>
      <c r="E4" s="4">
        <v>2</v>
      </c>
      <c r="F4" s="4" t="s">
        <v>65</v>
      </c>
      <c r="H4" s="4" t="s">
        <v>66</v>
      </c>
      <c r="I4" s="4" t="str">
        <f t="shared" ref="I4:I14" si="0">LEFT(H4,3)</f>
        <v>feb</v>
      </c>
      <c r="J4" s="4" t="s">
        <v>66</v>
      </c>
      <c r="K4" s="4" t="str">
        <f t="shared" ref="K4:K14" si="1">RIGHT(J4,3)</f>
        <v>ary</v>
      </c>
    </row>
    <row r="5" spans="1:11" x14ac:dyDescent="0.25">
      <c r="A5" s="4" t="s">
        <v>67</v>
      </c>
      <c r="B5" s="4">
        <v>9</v>
      </c>
      <c r="C5" s="4">
        <v>9000</v>
      </c>
      <c r="E5" s="4">
        <v>3</v>
      </c>
      <c r="F5" s="4" t="s">
        <v>67</v>
      </c>
      <c r="H5" s="4" t="s">
        <v>68</v>
      </c>
      <c r="I5" s="4" t="str">
        <f t="shared" si="0"/>
        <v>mar</v>
      </c>
      <c r="J5" s="4" t="s">
        <v>68</v>
      </c>
      <c r="K5" s="4" t="str">
        <f t="shared" si="1"/>
        <v>rch</v>
      </c>
    </row>
    <row r="6" spans="1:11" x14ac:dyDescent="0.25">
      <c r="A6" s="4" t="s">
        <v>69</v>
      </c>
      <c r="B6" s="4">
        <v>1</v>
      </c>
      <c r="C6" s="4">
        <v>1000</v>
      </c>
      <c r="E6" s="4">
        <v>4</v>
      </c>
      <c r="F6" s="4" t="s">
        <v>69</v>
      </c>
      <c r="H6" s="4" t="s">
        <v>70</v>
      </c>
      <c r="I6" s="4" t="str">
        <f t="shared" si="0"/>
        <v>apr</v>
      </c>
      <c r="J6" s="4" t="s">
        <v>70</v>
      </c>
      <c r="K6" s="4" t="str">
        <f t="shared" si="1"/>
        <v>ril</v>
      </c>
    </row>
    <row r="7" spans="1:11" x14ac:dyDescent="0.25">
      <c r="A7" s="4" t="s">
        <v>71</v>
      </c>
      <c r="B7" s="4">
        <v>7</v>
      </c>
      <c r="C7" s="4">
        <v>9000</v>
      </c>
      <c r="E7" s="4">
        <v>5</v>
      </c>
      <c r="F7" s="4" t="s">
        <v>71</v>
      </c>
      <c r="H7" s="4" t="s">
        <v>72</v>
      </c>
      <c r="I7" s="4" t="str">
        <f t="shared" si="0"/>
        <v>may</v>
      </c>
      <c r="J7" s="4" t="s">
        <v>72</v>
      </c>
      <c r="K7" s="4" t="str">
        <f t="shared" si="1"/>
        <v>may</v>
      </c>
    </row>
    <row r="8" spans="1:11" x14ac:dyDescent="0.25">
      <c r="A8" s="4" t="s">
        <v>73</v>
      </c>
      <c r="B8" s="4">
        <v>6</v>
      </c>
      <c r="C8" s="4">
        <v>3700</v>
      </c>
      <c r="E8" s="4">
        <v>6</v>
      </c>
      <c r="F8" s="4" t="s">
        <v>73</v>
      </c>
      <c r="H8" s="4" t="s">
        <v>74</v>
      </c>
      <c r="I8" s="4" t="str">
        <f t="shared" si="0"/>
        <v>jun</v>
      </c>
      <c r="J8" s="4" t="s">
        <v>74</v>
      </c>
      <c r="K8" s="4" t="str">
        <f t="shared" si="1"/>
        <v>une</v>
      </c>
    </row>
    <row r="9" spans="1:11" x14ac:dyDescent="0.25">
      <c r="A9" s="4" t="s">
        <v>75</v>
      </c>
      <c r="B9" s="4">
        <v>8</v>
      </c>
      <c r="C9" s="4">
        <v>5825</v>
      </c>
      <c r="E9" s="4">
        <v>7</v>
      </c>
      <c r="F9" s="4" t="s">
        <v>75</v>
      </c>
      <c r="H9" s="4" t="s">
        <v>76</v>
      </c>
      <c r="I9" s="4" t="str">
        <f t="shared" si="0"/>
        <v>jul</v>
      </c>
      <c r="J9" s="4" t="s">
        <v>76</v>
      </c>
      <c r="K9" s="4" t="str">
        <f t="shared" si="1"/>
        <v>uly</v>
      </c>
    </row>
    <row r="10" spans="1:11" x14ac:dyDescent="0.25">
      <c r="A10" s="4" t="s">
        <v>77</v>
      </c>
      <c r="B10" s="4">
        <v>3</v>
      </c>
      <c r="C10" s="4">
        <v>2154</v>
      </c>
      <c r="E10" s="4">
        <v>8</v>
      </c>
      <c r="F10" s="4" t="s">
        <v>77</v>
      </c>
      <c r="H10" s="4" t="s">
        <v>78</v>
      </c>
      <c r="I10" s="4" t="str">
        <f t="shared" si="0"/>
        <v>aug</v>
      </c>
      <c r="J10" s="4" t="s">
        <v>78</v>
      </c>
      <c r="K10" s="4" t="str">
        <f t="shared" si="1"/>
        <v>ust</v>
      </c>
    </row>
    <row r="11" spans="1:11" x14ac:dyDescent="0.25">
      <c r="H11" s="4" t="s">
        <v>79</v>
      </c>
      <c r="I11" s="4" t="str">
        <f t="shared" si="0"/>
        <v>sep</v>
      </c>
      <c r="J11" s="4" t="s">
        <v>79</v>
      </c>
      <c r="K11" s="4" t="str">
        <f t="shared" si="1"/>
        <v>ber</v>
      </c>
    </row>
    <row r="12" spans="1:11" x14ac:dyDescent="0.25">
      <c r="A12" s="11" t="s">
        <v>80</v>
      </c>
      <c r="B12" s="24">
        <f>SUMPRODUCT(B3:B10,C3:C10)</f>
        <v>238262</v>
      </c>
      <c r="C12" s="24"/>
      <c r="E12" s="11">
        <v>3</v>
      </c>
      <c r="F12" s="11" t="str">
        <f>CHOOSE(E12,F3,F4,F5,F6,F7,F8,F9,F10)</f>
        <v>Trimer</v>
      </c>
      <c r="H12" s="4" t="s">
        <v>81</v>
      </c>
      <c r="I12" s="4" t="str">
        <f t="shared" si="0"/>
        <v>oct</v>
      </c>
      <c r="J12" s="4" t="s">
        <v>81</v>
      </c>
      <c r="K12" s="4" t="str">
        <f t="shared" si="1"/>
        <v>ber</v>
      </c>
    </row>
    <row r="13" spans="1:11" x14ac:dyDescent="0.25">
      <c r="H13" s="4" t="s">
        <v>82</v>
      </c>
      <c r="I13" s="4" t="str">
        <f t="shared" si="0"/>
        <v>nov</v>
      </c>
      <c r="J13" s="4" t="s">
        <v>82</v>
      </c>
      <c r="K13" s="4" t="str">
        <f t="shared" si="1"/>
        <v>ber</v>
      </c>
    </row>
    <row r="14" spans="1:11" x14ac:dyDescent="0.25">
      <c r="A14" s="11" t="s">
        <v>83</v>
      </c>
      <c r="B14" s="25" t="str">
        <f ca="1">INDIRECT("A3")</f>
        <v>Mobile</v>
      </c>
      <c r="C14" s="26"/>
      <c r="H14" s="4" t="s">
        <v>84</v>
      </c>
      <c r="I14" s="4" t="str">
        <f t="shared" si="0"/>
        <v>dec</v>
      </c>
      <c r="J14" s="4" t="s">
        <v>84</v>
      </c>
      <c r="K14" s="4" t="str">
        <f t="shared" si="1"/>
        <v>ber</v>
      </c>
    </row>
    <row r="16" spans="1:11" x14ac:dyDescent="0.25">
      <c r="A16" s="21" t="s">
        <v>85</v>
      </c>
      <c r="B16" s="21"/>
      <c r="C16" s="21"/>
    </row>
  </sheetData>
  <mergeCells count="6">
    <mergeCell ref="A16:C16"/>
    <mergeCell ref="A1:C1"/>
    <mergeCell ref="E1:F1"/>
    <mergeCell ref="H1:K1"/>
    <mergeCell ref="B12:C12"/>
    <mergeCell ref="B14:C14"/>
  </mergeCells>
  <dataValidations count="1">
    <dataValidation type="list" allowBlank="1" showInputMessage="1" showErrorMessage="1" sqref="E12" xr:uid="{C6213EF6-6C72-4775-8DC3-1209B61367EC}">
      <formula1>$E$3:$E$10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funtion_part_1</vt:lpstr>
      <vt:lpstr>function_part_2</vt:lpstr>
      <vt:lpstr>function_part_3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2025-11-01T10:47:01Z</dcterms:created>
  <dcterms:modified xsi:type="dcterms:W3CDTF">2025-11-01T11:21:50Z</dcterms:modified>
</cp:coreProperties>
</file>