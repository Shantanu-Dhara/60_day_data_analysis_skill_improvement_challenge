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60_Day_Data_Analysis_Skill_Improvement_Challenge\day_31\excel\"/>
    </mc:Choice>
  </mc:AlternateContent>
  <xr:revisionPtr revIDLastSave="0" documentId="13_ncr:1_{A588FBF6-D6B3-4CA7-87F6-0DF1DC92C1A7}" xr6:coauthVersionLast="47" xr6:coauthVersionMax="47" xr10:uidLastSave="{00000000-0000-0000-0000-000000000000}"/>
  <bookViews>
    <workbookView xWindow="-120" yWindow="-120" windowWidth="20730" windowHeight="11040" xr2:uid="{2684F3C1-7097-4637-B344-31A8FFF869BC}"/>
  </bookViews>
  <sheets>
    <sheet name="practice_she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" i="1" l="1"/>
  <c r="O12" i="1"/>
  <c r="O11" i="1"/>
  <c r="O7" i="1"/>
  <c r="O6" i="1"/>
  <c r="O2" i="1"/>
  <c r="I2" i="1"/>
  <c r="O10" i="1" s="1"/>
  <c r="I3" i="1"/>
  <c r="O8" i="1" s="1"/>
  <c r="I4" i="1"/>
  <c r="I5" i="1"/>
  <c r="I6" i="1"/>
  <c r="I7" i="1"/>
  <c r="O5" i="1" l="1"/>
  <c r="O3" i="1"/>
  <c r="O4" i="1"/>
  <c r="O1" i="1"/>
</calcChain>
</file>

<file path=xl/sharedStrings.xml><?xml version="1.0" encoding="utf-8"?>
<sst xmlns="http://schemas.openxmlformats.org/spreadsheetml/2006/main" count="64" uniqueCount="57">
  <si>
    <t>OrderID</t>
  </si>
  <si>
    <t>Date</t>
  </si>
  <si>
    <t>Region</t>
  </si>
  <si>
    <t>Salesperson</t>
  </si>
  <si>
    <t>Product</t>
  </si>
  <si>
    <t>Qty</t>
  </si>
  <si>
    <t>Unit Price</t>
  </si>
  <si>
    <t>Total</t>
  </si>
  <si>
    <t>Customer Email</t>
  </si>
  <si>
    <t>North</t>
  </si>
  <si>
    <t>Amit Singh</t>
  </si>
  <si>
    <t>Laptop</t>
  </si>
  <si>
    <t>South</t>
  </si>
  <si>
    <t>Neha Sen</t>
  </si>
  <si>
    <t>Mouse</t>
  </si>
  <si>
    <t>neha@gmail.com</t>
  </si>
  <si>
    <t>East</t>
  </si>
  <si>
    <t>Keyboard</t>
  </si>
  <si>
    <t>West</t>
  </si>
  <si>
    <t>rahul@gmail.com</t>
  </si>
  <si>
    <t>arjun@gmail.com</t>
  </si>
  <si>
    <t>company@.com</t>
  </si>
  <si>
    <t>shantanu@.com</t>
  </si>
  <si>
    <t>bappa@.com</t>
  </si>
  <si>
    <t>Arjun Majhi</t>
  </si>
  <si>
    <t>Rahul Kundu</t>
  </si>
  <si>
    <t>Short Form</t>
  </si>
  <si>
    <t>AS</t>
  </si>
  <si>
    <t>NS</t>
  </si>
  <si>
    <t>AM</t>
  </si>
  <si>
    <t>RK</t>
  </si>
  <si>
    <t>Bappa Pal</t>
  </si>
  <si>
    <t>BP</t>
  </si>
  <si>
    <t>Q1) Calculate Total Sales</t>
  </si>
  <si>
    <t>Q2) Count Number of orders</t>
  </si>
  <si>
    <t>Q3) What Is the average Sales</t>
  </si>
  <si>
    <t>SUM</t>
  </si>
  <si>
    <t>COUNT</t>
  </si>
  <si>
    <t>SUMIF</t>
  </si>
  <si>
    <t>SUMIFS</t>
  </si>
  <si>
    <t>Q4) Total Laptop Sales in North region</t>
  </si>
  <si>
    <t>COUNTIF</t>
  </si>
  <si>
    <t>COUNTIFS</t>
  </si>
  <si>
    <t>Q6) Count North region Sales</t>
  </si>
  <si>
    <t>Q7) Count North region laptop Sales</t>
  </si>
  <si>
    <t>Q8) Give me the Sales value of Neha</t>
  </si>
  <si>
    <t>INDEX+MATCH</t>
  </si>
  <si>
    <t>Nested Function(IF+AND)</t>
  </si>
  <si>
    <t>LEFT/RIGHT</t>
  </si>
  <si>
    <t>YEAR</t>
  </si>
  <si>
    <t>Q5) Total  Sales in North region</t>
  </si>
  <si>
    <t>Q10) Is North region Sales high or low</t>
  </si>
  <si>
    <t>Q11) Give me the First letter of Sales Person Amit</t>
  </si>
  <si>
    <t>Q12) Give me the year of Order ID 101</t>
  </si>
  <si>
    <t>Q9) Find the Order ID 104 Sales Person Name</t>
  </si>
  <si>
    <t>VLOOKUP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</si>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</sst>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0" xfId="2" applyAlignment="1">
      <alignment vertical="center" wrapText="1"/>
    </xf>
    <xf numFmtId="0" fontId="3" fillId="0" borderId="0" xfId="2"/>
    <xf numFmtId="0" fontId="0" fillId="0" borderId="0" xfId="0" applyAlignment="1">
      <alignment horizontal="right"/>
    </xf>
    <xf numFmtId="0" fontId="4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/>
    </xf>
    <xf numFmtId="0" fontId="5" fillId="2" borderId="1" xfId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</cellXfs>
  <cellStyles count="3">
    <cellStyle name="Accent6" xfId="1" builtinId="49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jun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rahul@gmail.com" TargetMode="External"/><Relationship Id="rId1" Type="http://schemas.openxmlformats.org/officeDocument/2006/relationships/hyperlink" Target="mailto:neha@gmail.com" TargetMode="External"/><Relationship Id="rId6" Type="http://schemas.openxmlformats.org/officeDocument/2006/relationships/hyperlink" Target="mailto:bappa@.com" TargetMode="External"/><Relationship Id="rId5" Type="http://schemas.openxmlformats.org/officeDocument/2006/relationships/hyperlink" Target="mailto:shantanu@.com" TargetMode="External"/><Relationship Id="rId4" Type="http://schemas.openxmlformats.org/officeDocument/2006/relationships/hyperlink" Target="mailto:company@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63E1-1F12-4864-A26B-5B94CE18F79D}">
  <dimension ref="A1:P12"/>
  <sheetViews>
    <sheetView tabSelected="1" workbookViewId="0">
      <selection activeCell="L10" sqref="L10:N10"/>
    </sheetView>
  </sheetViews>
  <sheetFormatPr defaultColWidth="7.85546875" defaultRowHeight="15" x14ac:dyDescent="0.25"/>
  <cols>
    <col min="1" max="1" width="9.5703125" customWidth="1"/>
    <col min="2" max="2" width="10.42578125" bestFit="1" customWidth="1"/>
    <col min="3" max="3" width="7.140625" bestFit="1" customWidth="1"/>
    <col min="4" max="4" width="11.85546875" customWidth="1"/>
    <col min="5" max="5" width="12.5703125" customWidth="1"/>
    <col min="7" max="7" width="4.140625" bestFit="1" customWidth="1"/>
    <col min="8" max="8" width="9.7109375" customWidth="1"/>
    <col min="9" max="9" width="6" bestFit="1" customWidth="1"/>
    <col min="10" max="10" width="15.42578125" bestFit="1" customWidth="1"/>
    <col min="12" max="12" width="23" bestFit="1" customWidth="1"/>
    <col min="14" max="14" width="14.140625" customWidth="1"/>
    <col min="15" max="15" width="12.5703125" style="6" bestFit="1" customWidth="1"/>
    <col min="16" max="16" width="25.28515625" customWidth="1"/>
  </cols>
  <sheetData>
    <row r="1" spans="1:1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  <c r="L1" s="15" t="s">
        <v>33</v>
      </c>
      <c r="M1" s="15"/>
      <c r="N1" s="15"/>
      <c r="O1" s="7">
        <f>SUM(I2:I7)</f>
        <v>239200</v>
      </c>
      <c r="P1" s="10" t="s">
        <v>36</v>
      </c>
    </row>
    <row r="2" spans="1:16" ht="30" x14ac:dyDescent="0.25">
      <c r="A2" s="2">
        <v>101</v>
      </c>
      <c r="B2" s="3">
        <v>45669</v>
      </c>
      <c r="C2" s="2" t="s">
        <v>9</v>
      </c>
      <c r="D2" s="2" t="s">
        <v>10</v>
      </c>
      <c r="E2" s="2" t="s">
        <v>27</v>
      </c>
      <c r="F2" s="2" t="s">
        <v>11</v>
      </c>
      <c r="G2" s="2">
        <v>2</v>
      </c>
      <c r="H2" s="2">
        <v>45000</v>
      </c>
      <c r="I2" s="2">
        <f t="shared" ref="I2:I6" si="0">G2*H2</f>
        <v>90000</v>
      </c>
      <c r="J2" s="4" t="s">
        <v>21</v>
      </c>
      <c r="L2" s="15" t="s">
        <v>34</v>
      </c>
      <c r="M2" s="15"/>
      <c r="N2" s="15"/>
      <c r="O2" s="7">
        <f>COUNT(A2:A7)</f>
        <v>6</v>
      </c>
      <c r="P2" s="10" t="s">
        <v>37</v>
      </c>
    </row>
    <row r="3" spans="1:16" ht="30" x14ac:dyDescent="0.25">
      <c r="A3" s="2">
        <v>102</v>
      </c>
      <c r="B3" s="3">
        <v>45671</v>
      </c>
      <c r="C3" s="2" t="s">
        <v>12</v>
      </c>
      <c r="D3" s="2" t="s">
        <v>13</v>
      </c>
      <c r="E3" s="2" t="s">
        <v>28</v>
      </c>
      <c r="F3" s="2" t="s">
        <v>14</v>
      </c>
      <c r="G3" s="2">
        <v>10</v>
      </c>
      <c r="H3" s="2">
        <v>500</v>
      </c>
      <c r="I3" s="2">
        <f t="shared" si="0"/>
        <v>5000</v>
      </c>
      <c r="J3" s="4" t="s">
        <v>15</v>
      </c>
      <c r="L3" s="15" t="s">
        <v>35</v>
      </c>
      <c r="M3" s="15"/>
      <c r="N3" s="15"/>
      <c r="O3" s="8">
        <f>AVERAGE(I2:I7)</f>
        <v>39866.666666666664</v>
      </c>
      <c r="P3" s="10" t="s">
        <v>56</v>
      </c>
    </row>
    <row r="4" spans="1:16" ht="30" x14ac:dyDescent="0.25">
      <c r="A4" s="2">
        <v>103</v>
      </c>
      <c r="B4" s="3">
        <v>45669</v>
      </c>
      <c r="C4" s="2" t="s">
        <v>9</v>
      </c>
      <c r="D4" s="2" t="s">
        <v>10</v>
      </c>
      <c r="E4" s="2" t="s">
        <v>27</v>
      </c>
      <c r="F4" s="2" t="s">
        <v>11</v>
      </c>
      <c r="G4" s="2">
        <v>2</v>
      </c>
      <c r="H4" s="2">
        <v>45000</v>
      </c>
      <c r="I4" s="2">
        <f t="shared" si="0"/>
        <v>90000</v>
      </c>
      <c r="J4" s="4" t="s">
        <v>20</v>
      </c>
      <c r="L4" s="15" t="s">
        <v>40</v>
      </c>
      <c r="M4" s="15"/>
      <c r="N4" s="15"/>
      <c r="O4" s="7">
        <f>SUMIFS(I2:I7,C2:C7,C2,F2:F7,F2)</f>
        <v>180000</v>
      </c>
      <c r="P4" s="10" t="s">
        <v>39</v>
      </c>
    </row>
    <row r="5" spans="1:16" ht="30" x14ac:dyDescent="0.25">
      <c r="A5" s="2">
        <v>104</v>
      </c>
      <c r="B5" s="3">
        <v>45674</v>
      </c>
      <c r="C5" s="2" t="s">
        <v>16</v>
      </c>
      <c r="D5" s="2" t="s">
        <v>24</v>
      </c>
      <c r="E5" s="2" t="s">
        <v>29</v>
      </c>
      <c r="F5" s="2" t="s">
        <v>17</v>
      </c>
      <c r="G5" s="2">
        <v>4</v>
      </c>
      <c r="H5" s="2">
        <v>800</v>
      </c>
      <c r="I5" s="2">
        <f t="shared" si="0"/>
        <v>3200</v>
      </c>
      <c r="J5" s="4" t="s">
        <v>19</v>
      </c>
      <c r="L5" s="11" t="s">
        <v>50</v>
      </c>
      <c r="M5" s="12"/>
      <c r="N5" s="13"/>
      <c r="O5" s="7">
        <f>SUMIF(C2:C7,C2,I2:I7)</f>
        <v>184000</v>
      </c>
      <c r="P5" s="10" t="s">
        <v>38</v>
      </c>
    </row>
    <row r="6" spans="1:16" ht="30" x14ac:dyDescent="0.25">
      <c r="A6" s="2">
        <v>105</v>
      </c>
      <c r="B6" s="3">
        <v>45676</v>
      </c>
      <c r="C6" s="2" t="s">
        <v>18</v>
      </c>
      <c r="D6" s="2" t="s">
        <v>25</v>
      </c>
      <c r="E6" s="2" t="s">
        <v>30</v>
      </c>
      <c r="F6" s="2" t="s">
        <v>11</v>
      </c>
      <c r="G6" s="2">
        <v>1</v>
      </c>
      <c r="H6" s="2">
        <v>47000</v>
      </c>
      <c r="I6" s="2">
        <f t="shared" si="0"/>
        <v>47000</v>
      </c>
      <c r="J6" s="5" t="s">
        <v>22</v>
      </c>
      <c r="L6" s="15" t="s">
        <v>43</v>
      </c>
      <c r="M6" s="15"/>
      <c r="N6" s="15"/>
      <c r="O6" s="7">
        <f>COUNTIF(C2:C7,C2)</f>
        <v>3</v>
      </c>
      <c r="P6" s="10" t="s">
        <v>41</v>
      </c>
    </row>
    <row r="7" spans="1:16" ht="30" x14ac:dyDescent="0.25">
      <c r="A7" s="2">
        <v>106</v>
      </c>
      <c r="B7" s="3">
        <v>45669</v>
      </c>
      <c r="C7" s="2" t="s">
        <v>9</v>
      </c>
      <c r="D7" s="2" t="s">
        <v>31</v>
      </c>
      <c r="E7" s="2" t="s">
        <v>32</v>
      </c>
      <c r="F7" s="2" t="s">
        <v>17</v>
      </c>
      <c r="G7" s="2">
        <v>5</v>
      </c>
      <c r="H7" s="2">
        <v>800</v>
      </c>
      <c r="I7" s="2">
        <f>G7*H7</f>
        <v>4000</v>
      </c>
      <c r="J7" s="5" t="s">
        <v>23</v>
      </c>
      <c r="L7" s="15" t="s">
        <v>44</v>
      </c>
      <c r="M7" s="15"/>
      <c r="N7" s="15"/>
      <c r="O7" s="7">
        <f>COUNTIFS(C2:C7,C2,F2:F7,F2)</f>
        <v>2</v>
      </c>
      <c r="P7" s="10" t="s">
        <v>42</v>
      </c>
    </row>
    <row r="8" spans="1:16" ht="25.5" customHeight="1" x14ac:dyDescent="0.25">
      <c r="L8" s="15" t="s">
        <v>45</v>
      </c>
      <c r="M8" s="15"/>
      <c r="N8" s="15"/>
      <c r="O8" s="7">
        <f>INDEX(I2:I7,MATCH(C3,C2:C7,0))</f>
        <v>5000</v>
      </c>
      <c r="P8" s="10" t="s">
        <v>46</v>
      </c>
    </row>
    <row r="9" spans="1:16" ht="25.5" customHeight="1" x14ac:dyDescent="0.25">
      <c r="L9" s="11" t="s">
        <v>54</v>
      </c>
      <c r="M9" s="12"/>
      <c r="N9" s="13"/>
      <c r="O9" s="7" t="str">
        <f>VLOOKUP(A5,A2:D7,4)</f>
        <v>Arjun Majhi</v>
      </c>
      <c r="P9" s="10" t="s">
        <v>55</v>
      </c>
    </row>
    <row r="10" spans="1:16" ht="25.5" customHeight="1" x14ac:dyDescent="0.25">
      <c r="L10" s="11" t="s">
        <v>51</v>
      </c>
      <c r="M10" s="12"/>
      <c r="N10" s="13"/>
      <c r="O10" s="7" t="str">
        <f>IF(AND(C2 = "North",I2 &gt; 50000),"High Sales","Low Sales")</f>
        <v>High Sales</v>
      </c>
      <c r="P10" s="10" t="s">
        <v>47</v>
      </c>
    </row>
    <row r="11" spans="1:16" ht="19.5" customHeight="1" x14ac:dyDescent="0.25">
      <c r="L11" s="14" t="s">
        <v>52</v>
      </c>
      <c r="M11" s="14"/>
      <c r="N11" s="14"/>
      <c r="O11" s="9" t="str">
        <f>LEFT(D2,1)</f>
        <v>A</v>
      </c>
      <c r="P11" s="10" t="s">
        <v>48</v>
      </c>
    </row>
    <row r="12" spans="1:16" ht="21.75" customHeight="1" x14ac:dyDescent="0.25">
      <c r="L12" s="14" t="s">
        <v>53</v>
      </c>
      <c r="M12" s="14"/>
      <c r="N12" s="14"/>
      <c r="O12" s="9">
        <f>YEAR(B2)</f>
        <v>2025</v>
      </c>
      <c r="P12" s="10" t="s">
        <v>49</v>
      </c>
    </row>
  </sheetData>
  <mergeCells count="12">
    <mergeCell ref="L2:N2"/>
    <mergeCell ref="L3:N3"/>
    <mergeCell ref="L4:N4"/>
    <mergeCell ref="L1:N1"/>
    <mergeCell ref="L10:N10"/>
    <mergeCell ref="L11:N11"/>
    <mergeCell ref="L12:N12"/>
    <mergeCell ref="L9:N9"/>
    <mergeCell ref="L5:N5"/>
    <mergeCell ref="L6:N6"/>
    <mergeCell ref="L7:N7"/>
    <mergeCell ref="L8:N8"/>
  </mergeCells>
  <dataValidations count="2">
    <dataValidation type="date" allowBlank="1" showInputMessage="1" showErrorMessage="1" sqref="B1:B6 B8:B1048576" xr:uid="{3506C26C-C241-4342-B68A-68713CB76E14}">
      <formula1>45669</formula1>
      <formula2>45925</formula2>
    </dataValidation>
    <dataValidation type="date" allowBlank="1" showInputMessage="1" showErrorMessage="1" errorTitle="Date" error="The should be between 12-01-2025 to 25-12-2025." sqref="B7" xr:uid="{5B9E1BA0-40F5-4FB5-A56A-62E6B77A8C59}">
      <formula1>45669</formula1>
      <formula2>46016</formula2>
    </dataValidation>
  </dataValidations>
  <hyperlinks>
    <hyperlink ref="J3" r:id="rId1" display="mailto:neha@gmail.com" xr:uid="{C5C5BEE6-9CB8-4593-A4E6-4C2198C9F16E}"/>
    <hyperlink ref="J5" r:id="rId2" display="mailto:rahul@gmail.com" xr:uid="{BD9AFDEB-5A7D-4F75-BB35-D9DEC6A39C45}"/>
    <hyperlink ref="J4" r:id="rId3" xr:uid="{97BA4085-17BB-4E0F-99B5-8563C780ACA7}"/>
    <hyperlink ref="J2" r:id="rId4" xr:uid="{6F45FF0B-126C-47A5-9878-56E88AE73D18}"/>
    <hyperlink ref="J6" r:id="rId5" xr:uid="{75A9C414-2C50-41F4-A8BA-F7847DE8BA69}"/>
    <hyperlink ref="J7" r:id="rId6" xr:uid="{A4D11A86-5FBA-4899-A4BC-BEE747EFF5F5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2025-11-28T01:57:55Z</dcterms:created>
  <dcterms:modified xsi:type="dcterms:W3CDTF">2025-11-28T13:14:11Z</dcterms:modified>
</cp:coreProperties>
</file>